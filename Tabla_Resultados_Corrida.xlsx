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tonio\Models\mi-proyecto-anylogic\"/>
    </mc:Choice>
  </mc:AlternateContent>
  <xr:revisionPtr revIDLastSave="0" documentId="13_ncr:1_{9BFB0AF7-A730-4F0B-A59D-03C43D4D0F03}" xr6:coauthVersionLast="47" xr6:coauthVersionMax="47" xr10:uidLastSave="{00000000-0000-0000-0000-000000000000}"/>
  <bookViews>
    <workbookView xWindow="-120" yWindow="-120" windowWidth="29040" windowHeight="15720" xr2:uid="{A923D075-8E6E-4AD4-8B2A-316AD42E9CB3}"/>
  </bookViews>
  <sheets>
    <sheet name="Tabla_Resultado" sheetId="2" r:id="rId1"/>
  </sheets>
  <definedNames>
    <definedName name="DatosExternos_1" localSheetId="0" hidden="1">Tabla_Resultado!$A$1:$O$104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3" i="2" l="1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251740-60AF-483E-842D-C8FECC9C83F0}" keepAlive="1" name="Consulta - output" description="Conexión a la consulta 'output' en el libro." type="5" refreshedVersion="8" background="1" saveData="1">
    <dbPr connection="Provider=Microsoft.Mashup.OleDb.1;Data Source=$Workbook$;Location=output;Extended Properties=&quot;&quot;" command="SELECT * FROM [output]"/>
  </connection>
</connections>
</file>

<file path=xl/sharedStrings.xml><?xml version="1.0" encoding="utf-8"?>
<sst xmlns="http://schemas.openxmlformats.org/spreadsheetml/2006/main" count="226" uniqueCount="48">
  <si>
    <t>Dia</t>
  </si>
  <si>
    <t>Hora</t>
  </si>
  <si>
    <t>OcupTotal</t>
  </si>
  <si>
    <t>Lunes 9</t>
  </si>
  <si>
    <t>07:00 - 08:00</t>
  </si>
  <si>
    <t>08:00 - 09:00</t>
  </si>
  <si>
    <t>09:00 - 10:00</t>
  </si>
  <si>
    <t>10:00 - 11:00</t>
  </si>
  <si>
    <t>11:00 - 12:00</t>
  </si>
  <si>
    <t>12:00 - 13:00</t>
  </si>
  <si>
    <t>13:00 - 14:00</t>
  </si>
  <si>
    <t>14:00 - 15:00</t>
  </si>
  <si>
    <t>15:00 - 16:00</t>
  </si>
  <si>
    <t>16:00 - 17:00</t>
  </si>
  <si>
    <t>17:00 - 18:00</t>
  </si>
  <si>
    <t>18:00 - 19:00</t>
  </si>
  <si>
    <t>19:00 - 20:00</t>
  </si>
  <si>
    <t>20:00 - 21:00</t>
  </si>
  <si>
    <t>21:00 - 22:00</t>
  </si>
  <si>
    <t>22:00 - 23:00</t>
  </si>
  <si>
    <t>23:00 - 00:00</t>
  </si>
  <si>
    <t>Martes 10</t>
  </si>
  <si>
    <t>00:00 - 01:00</t>
  </si>
  <si>
    <t>01:00 - 02:00</t>
  </si>
  <si>
    <t>02:00 - 03:00</t>
  </si>
  <si>
    <t>03:00 - 04:00</t>
  </si>
  <si>
    <t>Miercoles 11</t>
  </si>
  <si>
    <t>04:00 - 05:00</t>
  </si>
  <si>
    <t>05:00 - 06:00</t>
  </si>
  <si>
    <t>Jueves 12</t>
  </si>
  <si>
    <t>Viernes 13</t>
  </si>
  <si>
    <t>Entradas Externo</t>
  </si>
  <si>
    <t>Salidas Externo</t>
  </si>
  <si>
    <t>Ocupación Externo</t>
  </si>
  <si>
    <t>Rechazados acumulados</t>
  </si>
  <si>
    <t>Entradas Central</t>
  </si>
  <si>
    <t>Salidas Central</t>
  </si>
  <si>
    <t>Ocupación Central</t>
  </si>
  <si>
    <t>Entradas Polideportivo</t>
  </si>
  <si>
    <t>Salidas Polideportivo</t>
  </si>
  <si>
    <t>Ocupación Polideportivo</t>
  </si>
  <si>
    <t>Entradas Total</t>
  </si>
  <si>
    <t>Salidas Total</t>
  </si>
  <si>
    <t>% Utilización Total</t>
  </si>
  <si>
    <t>% Utilización Externo</t>
  </si>
  <si>
    <t>% Utilización Central</t>
  </si>
  <si>
    <t>% Utilización Polideportivo</t>
  </si>
  <si>
    <t>Rechazados por hora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</si>
</sst>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Font="1"/>
    <xf numFmtId="9" fontId="0" fillId="0" borderId="0" xfId="0" applyNumberFormat="1"/>
    <xf numFmtId="9" fontId="0" fillId="0" borderId="0" xfId="0" applyNumberFormat="1" applyFont="1"/>
    <xf numFmtId="0" fontId="0" fillId="0" borderId="0" xfId="0" applyNumberFormat="1"/>
  </cellXfs>
  <cellStyles count="1">
    <cellStyle name="Normal" xfId="0" builtinId="0"/>
  </cellStyles>
  <dxfs count="10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2AC9290E-AD61-461B-A21A-34496DBF1F3A}" autoFormatId="16" applyNumberFormats="0" applyBorderFormats="0" applyFontFormats="0" applyPatternFormats="0" applyAlignmentFormats="0" applyWidthHeightFormats="0">
  <queryTableRefresh nextId="22" unboundColumnsRight="5">
    <queryTableFields count="20">
      <queryTableField id="1" name="Dia" tableColumnId="1"/>
      <queryTableField id="2" name="Hora" tableColumnId="2"/>
      <queryTableField id="3" name="EntExt" tableColumnId="3"/>
      <queryTableField id="4" name="SalExt" tableColumnId="4"/>
      <queryTableField id="5" name="OcupExt" tableColumnId="5"/>
      <queryTableField id="6" name="EntCent" tableColumnId="6"/>
      <queryTableField id="7" name="SalCent" tableColumnId="7"/>
      <queryTableField id="8" name="OcupCent" tableColumnId="8"/>
      <queryTableField id="9" name="EntPoli" tableColumnId="9"/>
      <queryTableField id="10" name="SalPoli" tableColumnId="10"/>
      <queryTableField id="11" name="OcupPoli" tableColumnId="11"/>
      <queryTableField id="12" name="EntTotal" tableColumnId="12"/>
      <queryTableField id="13" name="SalTotal" tableColumnId="13"/>
      <queryTableField id="14" name="OcupTotal" tableColumnId="14"/>
      <queryTableField id="15" name="Rechazados" tableColumnId="15"/>
      <queryTableField id="17" dataBound="0" tableColumnId="17"/>
      <queryTableField id="18" dataBound="0" tableColumnId="18"/>
      <queryTableField id="19" dataBound="0" tableColumnId="19"/>
      <queryTableField id="20" dataBound="0" tableColumnId="20"/>
      <queryTableField id="21" dataBound="0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F22340-4DCC-48B2-97CE-82C3B5869135}" name="output" displayName="output" ref="A1:T104" tableType="queryTable" totalsRowShown="0">
  <autoFilter ref="A1:T104" xr:uid="{74F22340-4DCC-48B2-97CE-82C3B5869135}">
    <filterColumn colId="1">
      <filters>
        <filter val="07:00 - 08:00"/>
        <filter val="08:00 - 09:00"/>
        <filter val="09:00 - 10:00"/>
        <filter val="10:00 - 11:00"/>
        <filter val="11:00 - 12:00"/>
        <filter val="12:00 - 13:00"/>
        <filter val="13:00 - 14:00"/>
        <filter val="14:00 - 15:00"/>
        <filter val="15:00 - 16:00"/>
        <filter val="16:00 - 17:00"/>
        <filter val="17:00 - 18:00"/>
        <filter val="18:00 - 19:00"/>
        <filter val="19:00 - 20:00"/>
        <filter val="20:00 - 21:00"/>
        <filter val="21:00 - 22:00"/>
      </filters>
    </filterColumn>
  </autoFilter>
  <tableColumns count="20">
    <tableColumn id="1" xr3:uid="{29BADEF3-00F3-4923-9B25-9276A2AB6AF3}" uniqueName="1" name="Dia" queryTableFieldId="1" dataDxfId="105"/>
    <tableColumn id="2" xr3:uid="{7FF5DB85-B9DE-4A5F-8C22-4E66327D084E}" uniqueName="2" name="Hora" queryTableFieldId="2" dataDxfId="104"/>
    <tableColumn id="3" xr3:uid="{06DDC69D-1405-41D2-A484-702BD6EB6B49}" uniqueName="3" name="Entradas Externo" queryTableFieldId="3"/>
    <tableColumn id="4" xr3:uid="{EF2FE910-1170-47C3-9301-CB1EDF69007F}" uniqueName="4" name="Salidas Externo" queryTableFieldId="4"/>
    <tableColumn id="5" xr3:uid="{CDF657CF-72AD-48AD-A9F4-18C306027810}" uniqueName="5" name="Ocupación Externo" queryTableFieldId="5"/>
    <tableColumn id="6" xr3:uid="{366FE8A2-1B85-488D-A618-DC32FCF3A8A4}" uniqueName="6" name="Entradas Central" queryTableFieldId="6"/>
    <tableColumn id="7" xr3:uid="{0593EFA6-903D-4A35-80F7-F3EC8A432016}" uniqueName="7" name="Salidas Central" queryTableFieldId="7"/>
    <tableColumn id="8" xr3:uid="{933EAB70-E024-45CE-AFAF-5065F92541C8}" uniqueName="8" name="Ocupación Central" queryTableFieldId="8"/>
    <tableColumn id="9" xr3:uid="{E354DEF6-8248-4473-A467-38B0F1AE3D94}" uniqueName="9" name="Entradas Polideportivo" queryTableFieldId="9"/>
    <tableColumn id="10" xr3:uid="{8B115D59-DA50-46C7-9547-C01760D8BED9}" uniqueName="10" name="Salidas Polideportivo" queryTableFieldId="10"/>
    <tableColumn id="11" xr3:uid="{51016732-5ADF-4005-BDE7-121E93E15233}" uniqueName="11" name="Ocupación Polideportivo" queryTableFieldId="11"/>
    <tableColumn id="12" xr3:uid="{F0879C00-59C2-419C-8538-41F17FA72E12}" uniqueName="12" name="Entradas Total" queryTableFieldId="12"/>
    <tableColumn id="13" xr3:uid="{CA0D0D81-2959-4048-B568-C2A3ECAE3564}" uniqueName="13" name="Salidas Total" queryTableFieldId="13"/>
    <tableColumn id="14" xr3:uid="{7662A870-E3B2-4154-B61C-1FBF71041EC3}" uniqueName="14" name="OcupTotal" queryTableFieldId="14"/>
    <tableColumn id="15" xr3:uid="{D9DFDC86-A607-4E1A-AC03-BA515BCBAFFD}" uniqueName="15" name="Rechazados acumulados" queryTableFieldId="15"/>
    <tableColumn id="17" xr3:uid="{C1FC1DA5-EF45-4471-8849-5F495E3FF680}" uniqueName="17" name="% Utilización Total" queryTableFieldId="17" dataDxfId="103">
      <calculatedColumnFormula>+output[[#This Row],[OcupTotal]]/264</calculatedColumnFormula>
    </tableColumn>
    <tableColumn id="18" xr3:uid="{5E209660-3C78-463E-8A28-FB880F017BEF}" uniqueName="18" name="% Utilización Externo" queryTableFieldId="18" dataDxfId="102">
      <calculatedColumnFormula>+output[[#This Row],[Ocupación Externo]]/100</calculatedColumnFormula>
    </tableColumn>
    <tableColumn id="19" xr3:uid="{A5807F5A-8F30-44BB-AB84-52E671F2A0A3}" uniqueName="19" name="% Utilización Central" queryTableFieldId="19" dataDxfId="101">
      <calculatedColumnFormula>+output[[#This Row],[Ocupación Central]]/73</calculatedColumnFormula>
    </tableColumn>
    <tableColumn id="20" xr3:uid="{E58CA651-F54D-4F7B-A992-F3575454629B}" uniqueName="20" name="% Utilización Polideportivo" queryTableFieldId="20" dataDxfId="100">
      <calculatedColumnFormula>+output[[#This Row],[Ocupación Polideportivo]]/91</calculatedColumnFormula>
    </tableColumn>
    <tableColumn id="21" xr3:uid="{CBA7D8CD-20EB-41E6-B1A4-A2DEF8230906}" uniqueName="21" name="Rechazados por hora" queryTableFieldId="21" dataDxfId="27">
      <calculatedColumnFormula>+output[[#This Row],[Rechazados acumulados]]-O1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F70EF-1C35-43D8-8371-85958791E966}">
  <dimension ref="A1:T104"/>
  <sheetViews>
    <sheetView tabSelected="1" topLeftCell="A73" workbookViewId="0">
      <selection activeCell="T13" sqref="T13"/>
    </sheetView>
  </sheetViews>
  <sheetFormatPr baseColWidth="10" defaultRowHeight="15" x14ac:dyDescent="0.25"/>
  <cols>
    <col min="1" max="1" width="12" bestFit="1" customWidth="1"/>
    <col min="2" max="2" width="11.7109375" bestFit="1" customWidth="1"/>
    <col min="3" max="3" width="9.140625" bestFit="1" customWidth="1"/>
    <col min="4" max="4" width="8.85546875" bestFit="1" customWidth="1"/>
    <col min="5" max="5" width="10.85546875" bestFit="1" customWidth="1"/>
    <col min="6" max="6" width="10.7109375" bestFit="1" customWidth="1"/>
    <col min="7" max="7" width="10.42578125" bestFit="1" customWidth="1"/>
    <col min="8" max="8" width="12.42578125" bestFit="1" customWidth="1"/>
    <col min="9" max="9" width="9.7109375" bestFit="1" customWidth="1"/>
    <col min="10" max="10" width="9.42578125" bestFit="1" customWidth="1"/>
    <col min="11" max="11" width="11.42578125" style="2"/>
    <col min="12" max="12" width="10.7109375" bestFit="1" customWidth="1"/>
    <col min="13" max="13" width="10.42578125" bestFit="1" customWidth="1"/>
    <col min="14" max="14" width="12.42578125" bestFit="1" customWidth="1"/>
    <col min="15" max="15" width="14" bestFit="1" customWidth="1"/>
  </cols>
  <sheetData>
    <row r="1" spans="1:20" x14ac:dyDescent="0.25">
      <c r="A1" t="s">
        <v>0</v>
      </c>
      <c r="B1" t="s">
        <v>1</v>
      </c>
      <c r="C1" t="s">
        <v>31</v>
      </c>
      <c r="D1" t="s">
        <v>32</v>
      </c>
      <c r="E1" t="s">
        <v>33</v>
      </c>
      <c r="F1" t="s">
        <v>35</v>
      </c>
      <c r="G1" t="s">
        <v>36</v>
      </c>
      <c r="H1" t="s">
        <v>37</v>
      </c>
      <c r="I1" s="2" t="s">
        <v>38</v>
      </c>
      <c r="J1" t="s">
        <v>39</v>
      </c>
      <c r="K1" s="2" t="s">
        <v>40</v>
      </c>
      <c r="L1" t="s">
        <v>41</v>
      </c>
      <c r="M1" t="s">
        <v>42</v>
      </c>
      <c r="N1" t="s">
        <v>2</v>
      </c>
      <c r="O1" t="s">
        <v>34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</row>
    <row r="2" spans="1:20" x14ac:dyDescent="0.25">
      <c r="A2" t="s">
        <v>3</v>
      </c>
      <c r="B2" t="s">
        <v>4</v>
      </c>
      <c r="C2">
        <v>31</v>
      </c>
      <c r="D2">
        <v>0</v>
      </c>
      <c r="E2">
        <v>31</v>
      </c>
      <c r="F2">
        <v>23</v>
      </c>
      <c r="G2">
        <v>0</v>
      </c>
      <c r="H2">
        <v>23</v>
      </c>
      <c r="I2">
        <v>26</v>
      </c>
      <c r="J2">
        <v>0</v>
      </c>
      <c r="K2" s="2">
        <v>26</v>
      </c>
      <c r="L2">
        <v>80</v>
      </c>
      <c r="M2">
        <v>0</v>
      </c>
      <c r="N2">
        <v>80</v>
      </c>
      <c r="O2" s="2">
        <v>0</v>
      </c>
      <c r="P2" s="4">
        <f>+output[[#This Row],[OcupTotal]]/264</f>
        <v>0.30303030303030304</v>
      </c>
      <c r="Q2" s="3">
        <f>+output[[#This Row],[Ocupación Externo]]/100</f>
        <v>0.31</v>
      </c>
      <c r="R2" s="4">
        <f>+output[[#This Row],[Ocupación Central]]/73</f>
        <v>0.31506849315068491</v>
      </c>
      <c r="S2" s="3">
        <f>+output[[#This Row],[Ocupación Polideportivo]]/91</f>
        <v>0.2857142857142857</v>
      </c>
      <c r="T2" s="5">
        <v>0</v>
      </c>
    </row>
    <row r="3" spans="1:20" x14ac:dyDescent="0.25">
      <c r="A3" t="s">
        <v>3</v>
      </c>
      <c r="B3" t="s">
        <v>5</v>
      </c>
      <c r="C3">
        <v>25</v>
      </c>
      <c r="D3">
        <v>0</v>
      </c>
      <c r="E3">
        <v>56</v>
      </c>
      <c r="F3">
        <v>19</v>
      </c>
      <c r="G3">
        <v>0</v>
      </c>
      <c r="H3">
        <v>42</v>
      </c>
      <c r="I3">
        <v>20</v>
      </c>
      <c r="J3">
        <v>0</v>
      </c>
      <c r="K3" s="2">
        <v>46</v>
      </c>
      <c r="L3">
        <v>64</v>
      </c>
      <c r="M3">
        <v>0</v>
      </c>
      <c r="N3">
        <v>144</v>
      </c>
      <c r="O3">
        <v>1</v>
      </c>
      <c r="P3" s="4">
        <f>+output[[#This Row],[OcupTotal]]/264</f>
        <v>0.54545454545454541</v>
      </c>
      <c r="Q3" s="3">
        <f>+output[[#This Row],[Ocupación Externo]]/100</f>
        <v>0.56000000000000005</v>
      </c>
      <c r="R3" s="3">
        <f>+output[[#This Row],[Ocupación Central]]/73</f>
        <v>0.57534246575342463</v>
      </c>
      <c r="S3" s="3">
        <f>+output[[#This Row],[Ocupación Polideportivo]]/91</f>
        <v>0.50549450549450547</v>
      </c>
      <c r="T3" s="5">
        <f>+output[[#This Row],[Rechazados acumulados]]-O2</f>
        <v>1</v>
      </c>
    </row>
    <row r="4" spans="1:20" x14ac:dyDescent="0.25">
      <c r="A4" t="s">
        <v>3</v>
      </c>
      <c r="B4" t="s">
        <v>6</v>
      </c>
      <c r="C4">
        <v>19</v>
      </c>
      <c r="D4">
        <v>0</v>
      </c>
      <c r="E4">
        <v>75</v>
      </c>
      <c r="F4">
        <v>16</v>
      </c>
      <c r="G4">
        <v>0</v>
      </c>
      <c r="H4">
        <v>58</v>
      </c>
      <c r="I4">
        <v>14</v>
      </c>
      <c r="J4">
        <v>0</v>
      </c>
      <c r="K4" s="2">
        <v>60</v>
      </c>
      <c r="L4">
        <v>49</v>
      </c>
      <c r="M4">
        <v>0</v>
      </c>
      <c r="N4">
        <v>193</v>
      </c>
      <c r="O4">
        <v>1</v>
      </c>
      <c r="P4" s="4">
        <f>+output[[#This Row],[OcupTotal]]/264</f>
        <v>0.73106060606060608</v>
      </c>
      <c r="Q4" s="3">
        <f>+output[[#This Row],[Ocupación Externo]]/100</f>
        <v>0.75</v>
      </c>
      <c r="R4" s="3">
        <f>+output[[#This Row],[Ocupación Central]]/73</f>
        <v>0.79452054794520544</v>
      </c>
      <c r="S4" s="3">
        <f>+output[[#This Row],[Ocupación Polideportivo]]/91</f>
        <v>0.65934065934065933</v>
      </c>
      <c r="T4" s="5">
        <f>+output[[#This Row],[Rechazados acumulados]]-O3</f>
        <v>0</v>
      </c>
    </row>
    <row r="5" spans="1:20" x14ac:dyDescent="0.25">
      <c r="A5" t="s">
        <v>3</v>
      </c>
      <c r="B5" t="s">
        <v>7</v>
      </c>
      <c r="C5">
        <v>23</v>
      </c>
      <c r="D5">
        <v>4</v>
      </c>
      <c r="E5">
        <v>94</v>
      </c>
      <c r="F5">
        <v>11</v>
      </c>
      <c r="G5">
        <v>5</v>
      </c>
      <c r="H5">
        <v>64</v>
      </c>
      <c r="I5">
        <v>12</v>
      </c>
      <c r="J5">
        <v>5</v>
      </c>
      <c r="K5" s="2">
        <v>67</v>
      </c>
      <c r="L5">
        <v>46</v>
      </c>
      <c r="M5">
        <v>14</v>
      </c>
      <c r="N5">
        <v>225</v>
      </c>
      <c r="O5">
        <v>1</v>
      </c>
      <c r="P5" s="4">
        <f>+output[[#This Row],[OcupTotal]]/264</f>
        <v>0.85227272727272729</v>
      </c>
      <c r="Q5" s="3">
        <f>+output[[#This Row],[Ocupación Externo]]/100</f>
        <v>0.94</v>
      </c>
      <c r="R5" s="3">
        <f>+output[[#This Row],[Ocupación Central]]/73</f>
        <v>0.87671232876712324</v>
      </c>
      <c r="S5" s="3">
        <f>+output[[#This Row],[Ocupación Polideportivo]]/91</f>
        <v>0.73626373626373631</v>
      </c>
      <c r="T5" s="5">
        <f>+output[[#This Row],[Rechazados acumulados]]-O4</f>
        <v>0</v>
      </c>
    </row>
    <row r="6" spans="1:20" x14ac:dyDescent="0.25">
      <c r="A6" t="s">
        <v>3</v>
      </c>
      <c r="B6" t="s">
        <v>8</v>
      </c>
      <c r="C6">
        <v>10</v>
      </c>
      <c r="D6">
        <v>9</v>
      </c>
      <c r="E6">
        <v>95</v>
      </c>
      <c r="F6">
        <v>9</v>
      </c>
      <c r="G6">
        <v>12</v>
      </c>
      <c r="H6">
        <v>61</v>
      </c>
      <c r="I6">
        <v>15</v>
      </c>
      <c r="J6">
        <v>11</v>
      </c>
      <c r="K6" s="2">
        <v>71</v>
      </c>
      <c r="L6">
        <v>34</v>
      </c>
      <c r="M6">
        <v>32</v>
      </c>
      <c r="N6">
        <v>227</v>
      </c>
      <c r="O6">
        <v>1</v>
      </c>
      <c r="P6" s="4">
        <f>+output[[#This Row],[OcupTotal]]/264</f>
        <v>0.85984848484848486</v>
      </c>
      <c r="Q6" s="3">
        <f>+output[[#This Row],[Ocupación Externo]]/100</f>
        <v>0.95</v>
      </c>
      <c r="R6" s="3">
        <f>+output[[#This Row],[Ocupación Central]]/73</f>
        <v>0.83561643835616439</v>
      </c>
      <c r="S6" s="3">
        <f>+output[[#This Row],[Ocupación Polideportivo]]/91</f>
        <v>0.78021978021978022</v>
      </c>
      <c r="T6" s="5">
        <f>+output[[#This Row],[Rechazados acumulados]]-O5</f>
        <v>0</v>
      </c>
    </row>
    <row r="7" spans="1:20" x14ac:dyDescent="0.25">
      <c r="A7" t="s">
        <v>3</v>
      </c>
      <c r="B7" t="s">
        <v>9</v>
      </c>
      <c r="C7">
        <v>9</v>
      </c>
      <c r="D7">
        <v>20</v>
      </c>
      <c r="E7">
        <v>85</v>
      </c>
      <c r="F7">
        <v>4</v>
      </c>
      <c r="G7">
        <v>12</v>
      </c>
      <c r="H7">
        <v>53</v>
      </c>
      <c r="I7">
        <v>9</v>
      </c>
      <c r="J7">
        <v>16</v>
      </c>
      <c r="K7" s="2">
        <v>64</v>
      </c>
      <c r="L7">
        <v>22</v>
      </c>
      <c r="M7">
        <v>48</v>
      </c>
      <c r="N7">
        <v>202</v>
      </c>
      <c r="O7">
        <v>1</v>
      </c>
      <c r="P7" s="4">
        <f>+output[[#This Row],[OcupTotal]]/264</f>
        <v>0.76515151515151514</v>
      </c>
      <c r="Q7" s="3">
        <f>+output[[#This Row],[Ocupación Externo]]/100</f>
        <v>0.85</v>
      </c>
      <c r="R7" s="3">
        <f>+output[[#This Row],[Ocupación Central]]/73</f>
        <v>0.72602739726027399</v>
      </c>
      <c r="S7" s="3">
        <f>+output[[#This Row],[Ocupación Polideportivo]]/91</f>
        <v>0.70329670329670335</v>
      </c>
      <c r="T7" s="5">
        <f>+output[[#This Row],[Rechazados acumulados]]-O6</f>
        <v>0</v>
      </c>
    </row>
    <row r="8" spans="1:20" x14ac:dyDescent="0.25">
      <c r="A8" t="s">
        <v>3</v>
      </c>
      <c r="B8" t="s">
        <v>10</v>
      </c>
      <c r="C8">
        <v>6</v>
      </c>
      <c r="D8">
        <v>18</v>
      </c>
      <c r="E8">
        <v>73</v>
      </c>
      <c r="F8">
        <v>6</v>
      </c>
      <c r="G8">
        <v>10</v>
      </c>
      <c r="H8">
        <v>49</v>
      </c>
      <c r="I8">
        <v>12</v>
      </c>
      <c r="J8">
        <v>17</v>
      </c>
      <c r="K8" s="2">
        <v>59</v>
      </c>
      <c r="L8">
        <v>24</v>
      </c>
      <c r="M8">
        <v>45</v>
      </c>
      <c r="N8">
        <v>181</v>
      </c>
      <c r="O8">
        <v>1</v>
      </c>
      <c r="P8" s="4">
        <f>+output[[#This Row],[OcupTotal]]/264</f>
        <v>0.68560606060606055</v>
      </c>
      <c r="Q8" s="3">
        <f>+output[[#This Row],[Ocupación Externo]]/100</f>
        <v>0.73</v>
      </c>
      <c r="R8" s="3">
        <f>+output[[#This Row],[Ocupación Central]]/73</f>
        <v>0.67123287671232879</v>
      </c>
      <c r="S8" s="3">
        <f>+output[[#This Row],[Ocupación Polideportivo]]/91</f>
        <v>0.64835164835164838</v>
      </c>
      <c r="T8" s="5">
        <f>+output[[#This Row],[Rechazados acumulados]]-O7</f>
        <v>0</v>
      </c>
    </row>
    <row r="9" spans="1:20" x14ac:dyDescent="0.25">
      <c r="A9" t="s">
        <v>3</v>
      </c>
      <c r="B9" t="s">
        <v>11</v>
      </c>
      <c r="C9">
        <v>10</v>
      </c>
      <c r="D9">
        <v>23</v>
      </c>
      <c r="E9">
        <v>59</v>
      </c>
      <c r="F9">
        <v>16</v>
      </c>
      <c r="G9">
        <v>16</v>
      </c>
      <c r="H9">
        <v>49</v>
      </c>
      <c r="I9">
        <v>14</v>
      </c>
      <c r="J9">
        <v>12</v>
      </c>
      <c r="K9" s="2">
        <v>61</v>
      </c>
      <c r="L9">
        <v>40</v>
      </c>
      <c r="M9">
        <v>51</v>
      </c>
      <c r="N9">
        <v>169</v>
      </c>
      <c r="O9">
        <v>1</v>
      </c>
      <c r="P9" s="4">
        <f>+output[[#This Row],[OcupTotal]]/264</f>
        <v>0.64015151515151514</v>
      </c>
      <c r="Q9" s="3">
        <f>+output[[#This Row],[Ocupación Externo]]/100</f>
        <v>0.59</v>
      </c>
      <c r="R9" s="4">
        <f>+output[[#This Row],[Ocupación Central]]/73</f>
        <v>0.67123287671232879</v>
      </c>
      <c r="S9" s="3">
        <f>+output[[#This Row],[Ocupación Polideportivo]]/91</f>
        <v>0.67032967032967028</v>
      </c>
      <c r="T9" s="5">
        <f>+output[[#This Row],[Rechazados acumulados]]-O8</f>
        <v>0</v>
      </c>
    </row>
    <row r="10" spans="1:20" x14ac:dyDescent="0.25">
      <c r="A10" t="s">
        <v>3</v>
      </c>
      <c r="B10" t="s">
        <v>12</v>
      </c>
      <c r="C10">
        <v>14</v>
      </c>
      <c r="D10">
        <v>17</v>
      </c>
      <c r="E10">
        <v>56</v>
      </c>
      <c r="F10">
        <v>8</v>
      </c>
      <c r="G10">
        <v>8</v>
      </c>
      <c r="H10">
        <v>49</v>
      </c>
      <c r="I10">
        <v>13</v>
      </c>
      <c r="J10">
        <v>16</v>
      </c>
      <c r="K10" s="2">
        <v>58</v>
      </c>
      <c r="L10">
        <v>35</v>
      </c>
      <c r="M10">
        <v>41</v>
      </c>
      <c r="N10">
        <v>163</v>
      </c>
      <c r="O10">
        <v>1</v>
      </c>
      <c r="P10" s="4">
        <f>+output[[#This Row],[OcupTotal]]/264</f>
        <v>0.61742424242424243</v>
      </c>
      <c r="Q10" s="3">
        <f>+output[[#This Row],[Ocupación Externo]]/100</f>
        <v>0.56000000000000005</v>
      </c>
      <c r="R10" s="3">
        <f>+output[[#This Row],[Ocupación Central]]/73</f>
        <v>0.67123287671232879</v>
      </c>
      <c r="S10" s="3">
        <f>+output[[#This Row],[Ocupación Polideportivo]]/91</f>
        <v>0.63736263736263732</v>
      </c>
      <c r="T10" s="5">
        <f>+output[[#This Row],[Rechazados acumulados]]-O9</f>
        <v>0</v>
      </c>
    </row>
    <row r="11" spans="1:20" x14ac:dyDescent="0.25">
      <c r="A11" t="s">
        <v>3</v>
      </c>
      <c r="B11" t="s">
        <v>13</v>
      </c>
      <c r="C11">
        <v>18</v>
      </c>
      <c r="D11">
        <v>18</v>
      </c>
      <c r="E11">
        <v>56</v>
      </c>
      <c r="F11">
        <v>7</v>
      </c>
      <c r="G11">
        <v>9</v>
      </c>
      <c r="H11">
        <v>47</v>
      </c>
      <c r="I11">
        <v>12</v>
      </c>
      <c r="J11">
        <v>13</v>
      </c>
      <c r="K11" s="2">
        <v>57</v>
      </c>
      <c r="L11">
        <v>37</v>
      </c>
      <c r="M11">
        <v>40</v>
      </c>
      <c r="N11">
        <v>160</v>
      </c>
      <c r="O11">
        <v>1</v>
      </c>
      <c r="P11" s="4">
        <f>+output[[#This Row],[OcupTotal]]/264</f>
        <v>0.60606060606060608</v>
      </c>
      <c r="Q11" s="3">
        <f>+output[[#This Row],[Ocupación Externo]]/100</f>
        <v>0.56000000000000005</v>
      </c>
      <c r="R11" s="3">
        <f>+output[[#This Row],[Ocupación Central]]/73</f>
        <v>0.64383561643835618</v>
      </c>
      <c r="S11" s="3">
        <f>+output[[#This Row],[Ocupación Polideportivo]]/91</f>
        <v>0.62637362637362637</v>
      </c>
      <c r="T11" s="5">
        <f>+output[[#This Row],[Rechazados acumulados]]-O10</f>
        <v>0</v>
      </c>
    </row>
    <row r="12" spans="1:20" x14ac:dyDescent="0.25">
      <c r="A12" t="s">
        <v>3</v>
      </c>
      <c r="B12" t="s">
        <v>14</v>
      </c>
      <c r="C12">
        <v>33</v>
      </c>
      <c r="D12">
        <v>11</v>
      </c>
      <c r="E12">
        <v>78</v>
      </c>
      <c r="F12" s="1">
        <v>25</v>
      </c>
      <c r="G12">
        <v>13</v>
      </c>
      <c r="H12">
        <v>59</v>
      </c>
      <c r="I12">
        <v>30</v>
      </c>
      <c r="J12">
        <v>10</v>
      </c>
      <c r="K12" s="2">
        <v>77</v>
      </c>
      <c r="L12">
        <v>88</v>
      </c>
      <c r="M12">
        <v>34</v>
      </c>
      <c r="N12">
        <v>214</v>
      </c>
      <c r="O12">
        <v>2</v>
      </c>
      <c r="P12" s="4">
        <f>+output[[#This Row],[OcupTotal]]/264</f>
        <v>0.81060606060606055</v>
      </c>
      <c r="Q12" s="3">
        <f>+output[[#This Row],[Ocupación Externo]]/100</f>
        <v>0.78</v>
      </c>
      <c r="R12" s="3">
        <f>+output[[#This Row],[Ocupación Central]]/73</f>
        <v>0.80821917808219179</v>
      </c>
      <c r="S12" s="3">
        <f>+output[[#This Row],[Ocupación Polideportivo]]/91</f>
        <v>0.84615384615384615</v>
      </c>
      <c r="T12" s="5">
        <f>+output[[#This Row],[Rechazados acumulados]]-O11</f>
        <v>1</v>
      </c>
    </row>
    <row r="13" spans="1:20" x14ac:dyDescent="0.25">
      <c r="A13" t="s">
        <v>3</v>
      </c>
      <c r="B13" t="s">
        <v>15</v>
      </c>
      <c r="C13">
        <v>27</v>
      </c>
      <c r="D13">
        <v>7</v>
      </c>
      <c r="E13">
        <v>98</v>
      </c>
      <c r="F13">
        <v>23</v>
      </c>
      <c r="G13">
        <v>13</v>
      </c>
      <c r="H13">
        <v>70</v>
      </c>
      <c r="I13">
        <v>27</v>
      </c>
      <c r="J13">
        <v>13</v>
      </c>
      <c r="K13" s="2">
        <v>91</v>
      </c>
      <c r="L13">
        <v>77</v>
      </c>
      <c r="M13">
        <v>33</v>
      </c>
      <c r="N13">
        <v>259</v>
      </c>
      <c r="O13">
        <v>4</v>
      </c>
      <c r="P13" s="4">
        <f>+output[[#This Row],[OcupTotal]]/264</f>
        <v>0.98106060606060608</v>
      </c>
      <c r="Q13" s="3">
        <f>+output[[#This Row],[Ocupación Externo]]/100</f>
        <v>0.98</v>
      </c>
      <c r="R13" s="3">
        <f>+output[[#This Row],[Ocupación Central]]/73</f>
        <v>0.95890410958904104</v>
      </c>
      <c r="S13" s="3">
        <f>+output[[#This Row],[Ocupación Polideportivo]]/91</f>
        <v>1</v>
      </c>
      <c r="T13" s="5">
        <f>+output[[#This Row],[Rechazados acumulados]]-O12</f>
        <v>2</v>
      </c>
    </row>
    <row r="14" spans="1:20" x14ac:dyDescent="0.25">
      <c r="A14" t="s">
        <v>3</v>
      </c>
      <c r="B14" t="s">
        <v>16</v>
      </c>
      <c r="C14">
        <v>11</v>
      </c>
      <c r="D14">
        <v>9</v>
      </c>
      <c r="E14">
        <v>100</v>
      </c>
      <c r="F14">
        <v>11</v>
      </c>
      <c r="G14">
        <v>7</v>
      </c>
      <c r="H14">
        <v>73</v>
      </c>
      <c r="I14">
        <v>14</v>
      </c>
      <c r="J14">
        <v>14</v>
      </c>
      <c r="K14" s="2">
        <v>91</v>
      </c>
      <c r="L14">
        <v>36</v>
      </c>
      <c r="M14">
        <v>30</v>
      </c>
      <c r="N14">
        <v>264</v>
      </c>
      <c r="O14">
        <v>4</v>
      </c>
      <c r="P14" s="4">
        <f>+output[[#This Row],[OcupTotal]]/264</f>
        <v>1</v>
      </c>
      <c r="Q14" s="3">
        <f>+output[[#This Row],[Ocupación Externo]]/100</f>
        <v>1</v>
      </c>
      <c r="R14" s="3">
        <f>+output[[#This Row],[Ocupación Central]]/73</f>
        <v>1</v>
      </c>
      <c r="S14" s="3">
        <f>+output[[#This Row],[Ocupación Polideportivo]]/91</f>
        <v>1</v>
      </c>
      <c r="T14" s="5">
        <f>+output[[#This Row],[Rechazados acumulados]]-O13</f>
        <v>0</v>
      </c>
    </row>
    <row r="15" spans="1:20" x14ac:dyDescent="0.25">
      <c r="A15" t="s">
        <v>3</v>
      </c>
      <c r="B15" t="s">
        <v>17</v>
      </c>
      <c r="C15">
        <v>15</v>
      </c>
      <c r="D15">
        <v>23</v>
      </c>
      <c r="E15">
        <v>92</v>
      </c>
      <c r="F15">
        <v>7</v>
      </c>
      <c r="G15">
        <v>7</v>
      </c>
      <c r="H15">
        <v>73</v>
      </c>
      <c r="I15">
        <v>12</v>
      </c>
      <c r="J15">
        <v>12</v>
      </c>
      <c r="K15" s="2">
        <v>91</v>
      </c>
      <c r="L15">
        <v>34</v>
      </c>
      <c r="M15">
        <v>42</v>
      </c>
      <c r="N15">
        <v>256</v>
      </c>
      <c r="O15">
        <v>4</v>
      </c>
      <c r="P15" s="4">
        <f>+output[[#This Row],[OcupTotal]]/264</f>
        <v>0.96969696969696972</v>
      </c>
      <c r="Q15" s="3">
        <f>+output[[#This Row],[Ocupación Externo]]/100</f>
        <v>0.92</v>
      </c>
      <c r="R15" s="3">
        <f>+output[[#This Row],[Ocupación Central]]/73</f>
        <v>1</v>
      </c>
      <c r="S15" s="3">
        <f>+output[[#This Row],[Ocupación Polideportivo]]/91</f>
        <v>1</v>
      </c>
      <c r="T15" s="5">
        <f>+output[[#This Row],[Rechazados acumulados]]-O14</f>
        <v>0</v>
      </c>
    </row>
    <row r="16" spans="1:20" x14ac:dyDescent="0.25">
      <c r="A16" t="s">
        <v>3</v>
      </c>
      <c r="B16" t="s">
        <v>18</v>
      </c>
      <c r="C16">
        <v>6</v>
      </c>
      <c r="D16">
        <v>16</v>
      </c>
      <c r="E16">
        <v>82</v>
      </c>
      <c r="F16">
        <v>10</v>
      </c>
      <c r="G16">
        <v>17</v>
      </c>
      <c r="H16">
        <v>67</v>
      </c>
      <c r="I16">
        <v>10</v>
      </c>
      <c r="J16">
        <v>20</v>
      </c>
      <c r="K16" s="2">
        <v>81</v>
      </c>
      <c r="L16">
        <v>26</v>
      </c>
      <c r="M16">
        <v>53</v>
      </c>
      <c r="N16">
        <v>230</v>
      </c>
      <c r="O16">
        <v>4</v>
      </c>
      <c r="P16" s="4">
        <f>+output[[#This Row],[OcupTotal]]/264</f>
        <v>0.87121212121212122</v>
      </c>
      <c r="Q16" s="3">
        <f>+output[[#This Row],[Ocupación Externo]]/100</f>
        <v>0.82</v>
      </c>
      <c r="R16" s="3">
        <f>+output[[#This Row],[Ocupación Central]]/73</f>
        <v>0.9178082191780822</v>
      </c>
      <c r="S16" s="3">
        <f>+output[[#This Row],[Ocupación Polideportivo]]/91</f>
        <v>0.89010989010989006</v>
      </c>
      <c r="T16" s="5">
        <f>+output[[#This Row],[Rechazados acumulados]]-O15</f>
        <v>0</v>
      </c>
    </row>
    <row r="17" spans="1:20" hidden="1" x14ac:dyDescent="0.25">
      <c r="A17" t="s">
        <v>3</v>
      </c>
      <c r="B17" t="s">
        <v>19</v>
      </c>
      <c r="C17">
        <v>0</v>
      </c>
      <c r="D17">
        <v>22</v>
      </c>
      <c r="E17">
        <v>61</v>
      </c>
      <c r="F17">
        <v>0</v>
      </c>
      <c r="G17">
        <v>18</v>
      </c>
      <c r="H17">
        <v>48</v>
      </c>
      <c r="I17">
        <v>0</v>
      </c>
      <c r="J17">
        <v>22</v>
      </c>
      <c r="K17">
        <v>59</v>
      </c>
      <c r="L17">
        <v>0</v>
      </c>
      <c r="M17">
        <v>62</v>
      </c>
      <c r="N17">
        <v>168</v>
      </c>
      <c r="O17">
        <v>4</v>
      </c>
      <c r="P17">
        <f>+output[[#This Row],[OcupTotal]]/264</f>
        <v>0.63636363636363635</v>
      </c>
      <c r="Q17">
        <f>+output[[#This Row],[Ocupación Externo]]/100</f>
        <v>0.61</v>
      </c>
      <c r="R17">
        <f>+output[[#This Row],[Ocupación Central]]/73</f>
        <v>0.65753424657534243</v>
      </c>
      <c r="S17" s="5">
        <f>+output[[#This Row],[Ocupación Polideportivo]]/91</f>
        <v>0.64835164835164838</v>
      </c>
      <c r="T17" s="5">
        <f>+output[[#This Row],[Rechazados acumulados]]-O16</f>
        <v>0</v>
      </c>
    </row>
    <row r="18" spans="1:20" hidden="1" x14ac:dyDescent="0.25">
      <c r="A18" t="s">
        <v>3</v>
      </c>
      <c r="B18" t="s">
        <v>20</v>
      </c>
      <c r="C18">
        <v>0</v>
      </c>
      <c r="D18">
        <v>25</v>
      </c>
      <c r="E18">
        <v>35</v>
      </c>
      <c r="F18">
        <v>0</v>
      </c>
      <c r="G18">
        <v>17</v>
      </c>
      <c r="H18">
        <v>31</v>
      </c>
      <c r="I18">
        <v>0</v>
      </c>
      <c r="J18">
        <v>26</v>
      </c>
      <c r="K18">
        <v>34</v>
      </c>
      <c r="L18">
        <v>0</v>
      </c>
      <c r="M18">
        <v>68</v>
      </c>
      <c r="N18">
        <v>100</v>
      </c>
      <c r="O18">
        <v>4</v>
      </c>
      <c r="P18">
        <f>+output[[#This Row],[OcupTotal]]/264</f>
        <v>0.37878787878787878</v>
      </c>
      <c r="Q18">
        <f>+output[[#This Row],[Ocupación Externo]]/100</f>
        <v>0.35</v>
      </c>
      <c r="R18">
        <f>+output[[#This Row],[Ocupación Central]]/73</f>
        <v>0.42465753424657532</v>
      </c>
      <c r="S18" s="5">
        <f>+output[[#This Row],[Ocupación Polideportivo]]/91</f>
        <v>0.37362637362637363</v>
      </c>
      <c r="T18" s="5">
        <f>+output[[#This Row],[Rechazados acumulados]]-O17</f>
        <v>0</v>
      </c>
    </row>
    <row r="19" spans="1:20" hidden="1" x14ac:dyDescent="0.25">
      <c r="A19" t="s">
        <v>21</v>
      </c>
      <c r="B19" t="s">
        <v>22</v>
      </c>
      <c r="C19">
        <v>0</v>
      </c>
      <c r="D19">
        <v>16</v>
      </c>
      <c r="E19">
        <v>20</v>
      </c>
      <c r="F19">
        <v>0</v>
      </c>
      <c r="G19">
        <v>17</v>
      </c>
      <c r="H19">
        <v>14</v>
      </c>
      <c r="I19">
        <v>0</v>
      </c>
      <c r="J19">
        <v>9</v>
      </c>
      <c r="K19">
        <v>24</v>
      </c>
      <c r="L19">
        <v>0</v>
      </c>
      <c r="M19">
        <v>42</v>
      </c>
      <c r="N19">
        <v>58</v>
      </c>
      <c r="O19">
        <v>4</v>
      </c>
      <c r="P19">
        <f>+output[[#This Row],[OcupTotal]]/264</f>
        <v>0.2196969696969697</v>
      </c>
      <c r="Q19">
        <f>+output[[#This Row],[Ocupación Externo]]/100</f>
        <v>0.2</v>
      </c>
      <c r="R19">
        <f>+output[[#This Row],[Ocupación Central]]/73</f>
        <v>0.19178082191780821</v>
      </c>
      <c r="S19" s="5">
        <f>+output[[#This Row],[Ocupación Polideportivo]]/91</f>
        <v>0.26373626373626374</v>
      </c>
      <c r="T19" s="5">
        <f>+output[[#This Row],[Rechazados acumulados]]-O18</f>
        <v>0</v>
      </c>
    </row>
    <row r="20" spans="1:20" hidden="1" x14ac:dyDescent="0.25">
      <c r="A20" t="s">
        <v>21</v>
      </c>
      <c r="B20" t="s">
        <v>23</v>
      </c>
      <c r="C20">
        <v>0</v>
      </c>
      <c r="D20">
        <v>9</v>
      </c>
      <c r="E20">
        <v>10</v>
      </c>
      <c r="F20">
        <v>0</v>
      </c>
      <c r="G20">
        <v>7</v>
      </c>
      <c r="H20">
        <v>7</v>
      </c>
      <c r="I20">
        <v>0</v>
      </c>
      <c r="J20">
        <v>11</v>
      </c>
      <c r="K20">
        <v>14</v>
      </c>
      <c r="L20">
        <v>0</v>
      </c>
      <c r="M20">
        <v>27</v>
      </c>
      <c r="N20">
        <v>31</v>
      </c>
      <c r="O20">
        <v>4</v>
      </c>
      <c r="P20">
        <f>+output[[#This Row],[OcupTotal]]/264</f>
        <v>0.11742424242424243</v>
      </c>
      <c r="Q20">
        <f>+output[[#This Row],[Ocupación Externo]]/100</f>
        <v>0.1</v>
      </c>
      <c r="R20">
        <f>+output[[#This Row],[Ocupación Central]]/73</f>
        <v>9.5890410958904104E-2</v>
      </c>
      <c r="S20" s="5">
        <f>+output[[#This Row],[Ocupación Polideportivo]]/91</f>
        <v>0.15384615384615385</v>
      </c>
      <c r="T20" s="5">
        <f>+output[[#This Row],[Rechazados acumulados]]-O19</f>
        <v>0</v>
      </c>
    </row>
    <row r="21" spans="1:20" hidden="1" x14ac:dyDescent="0.25">
      <c r="A21" t="s">
        <v>21</v>
      </c>
      <c r="B21" t="s">
        <v>24</v>
      </c>
      <c r="C21">
        <v>0</v>
      </c>
      <c r="D21">
        <v>10</v>
      </c>
      <c r="E21">
        <v>0</v>
      </c>
      <c r="F21">
        <v>0</v>
      </c>
      <c r="G21">
        <v>6</v>
      </c>
      <c r="H21">
        <v>1</v>
      </c>
      <c r="I21">
        <v>0</v>
      </c>
      <c r="J21">
        <v>8</v>
      </c>
      <c r="K21">
        <v>6</v>
      </c>
      <c r="L21">
        <v>0</v>
      </c>
      <c r="M21">
        <v>24</v>
      </c>
      <c r="N21">
        <v>7</v>
      </c>
      <c r="O21">
        <v>4</v>
      </c>
      <c r="P21">
        <f>+output[[#This Row],[OcupTotal]]/264</f>
        <v>2.6515151515151516E-2</v>
      </c>
      <c r="Q21">
        <f>+output[[#This Row],[Ocupación Externo]]/100</f>
        <v>0</v>
      </c>
      <c r="R21">
        <f>+output[[#This Row],[Ocupación Central]]/73</f>
        <v>1.3698630136986301E-2</v>
      </c>
      <c r="S21" s="5">
        <f>+output[[#This Row],[Ocupación Polideportivo]]/91</f>
        <v>6.5934065934065936E-2</v>
      </c>
      <c r="T21" s="5">
        <f>+output[[#This Row],[Rechazados acumulados]]-O20</f>
        <v>0</v>
      </c>
    </row>
    <row r="22" spans="1:20" hidden="1" x14ac:dyDescent="0.25">
      <c r="A22" t="s">
        <v>21</v>
      </c>
      <c r="B22" t="s">
        <v>25</v>
      </c>
      <c r="C22">
        <v>0</v>
      </c>
      <c r="D22">
        <v>0</v>
      </c>
      <c r="E22">
        <v>0</v>
      </c>
      <c r="F22">
        <v>0</v>
      </c>
      <c r="G22">
        <v>1</v>
      </c>
      <c r="H22">
        <v>0</v>
      </c>
      <c r="I22">
        <v>0</v>
      </c>
      <c r="J22">
        <v>5</v>
      </c>
      <c r="K22">
        <v>1</v>
      </c>
      <c r="L22">
        <v>0</v>
      </c>
      <c r="M22">
        <v>6</v>
      </c>
      <c r="N22">
        <v>1</v>
      </c>
      <c r="O22">
        <v>4</v>
      </c>
      <c r="P22">
        <f>+output[[#This Row],[OcupTotal]]/264</f>
        <v>3.787878787878788E-3</v>
      </c>
      <c r="Q22">
        <f>+output[[#This Row],[Ocupación Externo]]/100</f>
        <v>0</v>
      </c>
      <c r="R22">
        <f>+output[[#This Row],[Ocupación Central]]/73</f>
        <v>0</v>
      </c>
      <c r="S22" s="5">
        <f>+output[[#This Row],[Ocupación Polideportivo]]/91</f>
        <v>1.098901098901099E-2</v>
      </c>
      <c r="T22" s="5">
        <f>+output[[#This Row],[Rechazados acumulados]]-O21</f>
        <v>0</v>
      </c>
    </row>
    <row r="23" spans="1:20" x14ac:dyDescent="0.25">
      <c r="A23" t="s">
        <v>21</v>
      </c>
      <c r="B23" t="s">
        <v>4</v>
      </c>
      <c r="C23">
        <v>29</v>
      </c>
      <c r="D23">
        <v>0</v>
      </c>
      <c r="E23">
        <v>29</v>
      </c>
      <c r="F23">
        <v>18</v>
      </c>
      <c r="G23">
        <v>0</v>
      </c>
      <c r="H23">
        <v>18</v>
      </c>
      <c r="I23">
        <v>38</v>
      </c>
      <c r="J23">
        <v>0</v>
      </c>
      <c r="K23" s="2">
        <v>38</v>
      </c>
      <c r="L23">
        <v>85</v>
      </c>
      <c r="M23">
        <v>0</v>
      </c>
      <c r="N23">
        <v>85</v>
      </c>
      <c r="O23">
        <v>10</v>
      </c>
      <c r="P23" s="4">
        <f>+output[[#This Row],[OcupTotal]]/264</f>
        <v>0.32196969696969696</v>
      </c>
      <c r="Q23" s="3">
        <f>+output[[#This Row],[Ocupación Externo]]/100</f>
        <v>0.28999999999999998</v>
      </c>
      <c r="R23" s="3">
        <f>+output[[#This Row],[Ocupación Central]]/73</f>
        <v>0.24657534246575341</v>
      </c>
      <c r="S23" s="3">
        <f>+output[[#This Row],[Ocupación Polideportivo]]/91</f>
        <v>0.4175824175824176</v>
      </c>
      <c r="T23" s="5">
        <f>+output[[#This Row],[Rechazados acumulados]]-O22</f>
        <v>6</v>
      </c>
    </row>
    <row r="24" spans="1:20" x14ac:dyDescent="0.25">
      <c r="A24" t="s">
        <v>21</v>
      </c>
      <c r="B24" t="s">
        <v>5</v>
      </c>
      <c r="C24">
        <v>32</v>
      </c>
      <c r="D24">
        <v>0</v>
      </c>
      <c r="E24">
        <v>61</v>
      </c>
      <c r="F24">
        <v>19</v>
      </c>
      <c r="G24">
        <v>0</v>
      </c>
      <c r="H24">
        <v>37</v>
      </c>
      <c r="I24">
        <v>17</v>
      </c>
      <c r="J24">
        <v>0</v>
      </c>
      <c r="K24" s="2">
        <v>55</v>
      </c>
      <c r="L24">
        <v>68</v>
      </c>
      <c r="M24">
        <v>0</v>
      </c>
      <c r="N24">
        <v>153</v>
      </c>
      <c r="O24">
        <v>10</v>
      </c>
      <c r="P24" s="4">
        <f>+output[[#This Row],[OcupTotal]]/264</f>
        <v>0.57954545454545459</v>
      </c>
      <c r="Q24" s="3">
        <f>+output[[#This Row],[Ocupación Externo]]/100</f>
        <v>0.61</v>
      </c>
      <c r="R24" s="3">
        <f>+output[[#This Row],[Ocupación Central]]/73</f>
        <v>0.50684931506849318</v>
      </c>
      <c r="S24" s="3">
        <f>+output[[#This Row],[Ocupación Polideportivo]]/91</f>
        <v>0.60439560439560436</v>
      </c>
      <c r="T24" s="5">
        <f>+output[[#This Row],[Rechazados acumulados]]-O23</f>
        <v>0</v>
      </c>
    </row>
    <row r="25" spans="1:20" x14ac:dyDescent="0.25">
      <c r="A25" t="s">
        <v>21</v>
      </c>
      <c r="B25" t="s">
        <v>6</v>
      </c>
      <c r="C25">
        <v>17</v>
      </c>
      <c r="D25">
        <v>0</v>
      </c>
      <c r="E25">
        <v>78</v>
      </c>
      <c r="F25">
        <v>11</v>
      </c>
      <c r="G25">
        <v>0</v>
      </c>
      <c r="H25">
        <v>48</v>
      </c>
      <c r="I25">
        <v>9</v>
      </c>
      <c r="J25">
        <v>0</v>
      </c>
      <c r="K25" s="2">
        <v>64</v>
      </c>
      <c r="L25">
        <v>37</v>
      </c>
      <c r="M25">
        <v>0</v>
      </c>
      <c r="N25">
        <v>190</v>
      </c>
      <c r="O25">
        <v>10</v>
      </c>
      <c r="P25" s="4">
        <f>+output[[#This Row],[OcupTotal]]/264</f>
        <v>0.71969696969696972</v>
      </c>
      <c r="Q25" s="3">
        <f>+output[[#This Row],[Ocupación Externo]]/100</f>
        <v>0.78</v>
      </c>
      <c r="R25" s="3">
        <f>+output[[#This Row],[Ocupación Central]]/73</f>
        <v>0.65753424657534243</v>
      </c>
      <c r="S25" s="3">
        <f>+output[[#This Row],[Ocupación Polideportivo]]/91</f>
        <v>0.70329670329670335</v>
      </c>
      <c r="T25" s="5">
        <f>+output[[#This Row],[Rechazados acumulados]]-O24</f>
        <v>0</v>
      </c>
    </row>
    <row r="26" spans="1:20" x14ac:dyDescent="0.25">
      <c r="A26" t="s">
        <v>21</v>
      </c>
      <c r="B26" t="s">
        <v>7</v>
      </c>
      <c r="C26">
        <v>13</v>
      </c>
      <c r="D26">
        <v>5</v>
      </c>
      <c r="E26">
        <v>86</v>
      </c>
      <c r="F26">
        <v>12</v>
      </c>
      <c r="G26">
        <v>7</v>
      </c>
      <c r="H26">
        <v>53</v>
      </c>
      <c r="I26">
        <v>11</v>
      </c>
      <c r="J26">
        <v>6</v>
      </c>
      <c r="K26" s="2">
        <v>69</v>
      </c>
      <c r="L26">
        <v>36</v>
      </c>
      <c r="M26">
        <v>18</v>
      </c>
      <c r="N26">
        <v>208</v>
      </c>
      <c r="O26">
        <v>10</v>
      </c>
      <c r="P26" s="4">
        <f>+output[[#This Row],[OcupTotal]]/264</f>
        <v>0.78787878787878785</v>
      </c>
      <c r="Q26" s="3">
        <f>+output[[#This Row],[Ocupación Externo]]/100</f>
        <v>0.86</v>
      </c>
      <c r="R26" s="3">
        <f>+output[[#This Row],[Ocupación Central]]/73</f>
        <v>0.72602739726027399</v>
      </c>
      <c r="S26" s="3">
        <f>+output[[#This Row],[Ocupación Polideportivo]]/91</f>
        <v>0.75824175824175821</v>
      </c>
      <c r="T26" s="5">
        <f>+output[[#This Row],[Rechazados acumulados]]-O25</f>
        <v>0</v>
      </c>
    </row>
    <row r="27" spans="1:20" x14ac:dyDescent="0.25">
      <c r="A27" t="s">
        <v>21</v>
      </c>
      <c r="B27" t="s">
        <v>8</v>
      </c>
      <c r="C27">
        <v>18</v>
      </c>
      <c r="D27">
        <v>19</v>
      </c>
      <c r="E27">
        <v>86</v>
      </c>
      <c r="F27">
        <v>7</v>
      </c>
      <c r="G27">
        <v>4</v>
      </c>
      <c r="H27">
        <v>56</v>
      </c>
      <c r="I27">
        <v>9</v>
      </c>
      <c r="J27">
        <v>14</v>
      </c>
      <c r="K27" s="2">
        <v>64</v>
      </c>
      <c r="L27">
        <v>34</v>
      </c>
      <c r="M27">
        <v>37</v>
      </c>
      <c r="N27">
        <v>206</v>
      </c>
      <c r="O27">
        <v>10</v>
      </c>
      <c r="P27" s="4">
        <f>+output[[#This Row],[OcupTotal]]/264</f>
        <v>0.78030303030303028</v>
      </c>
      <c r="Q27" s="3">
        <f>+output[[#This Row],[Ocupación Externo]]/100</f>
        <v>0.86</v>
      </c>
      <c r="R27" s="3">
        <f>+output[[#This Row],[Ocupación Central]]/73</f>
        <v>0.76712328767123283</v>
      </c>
      <c r="S27" s="3">
        <f>+output[[#This Row],[Ocupación Polideportivo]]/91</f>
        <v>0.70329670329670335</v>
      </c>
      <c r="T27" s="5">
        <f>+output[[#This Row],[Rechazados acumulados]]-O26</f>
        <v>0</v>
      </c>
    </row>
    <row r="28" spans="1:20" x14ac:dyDescent="0.25">
      <c r="A28" t="s">
        <v>21</v>
      </c>
      <c r="B28" t="s">
        <v>9</v>
      </c>
      <c r="C28">
        <v>6</v>
      </c>
      <c r="D28">
        <v>13</v>
      </c>
      <c r="E28">
        <v>78</v>
      </c>
      <c r="F28">
        <v>5</v>
      </c>
      <c r="G28">
        <v>11</v>
      </c>
      <c r="H28">
        <v>51</v>
      </c>
      <c r="I28">
        <v>10</v>
      </c>
      <c r="J28">
        <v>17</v>
      </c>
      <c r="K28" s="2">
        <v>57</v>
      </c>
      <c r="L28">
        <v>21</v>
      </c>
      <c r="M28">
        <v>41</v>
      </c>
      <c r="N28">
        <v>186</v>
      </c>
      <c r="O28">
        <v>10</v>
      </c>
      <c r="P28" s="4">
        <f>+output[[#This Row],[OcupTotal]]/264</f>
        <v>0.70454545454545459</v>
      </c>
      <c r="Q28" s="3">
        <f>+output[[#This Row],[Ocupación Externo]]/100</f>
        <v>0.78</v>
      </c>
      <c r="R28" s="3">
        <f>+output[[#This Row],[Ocupación Central]]/73</f>
        <v>0.69863013698630139</v>
      </c>
      <c r="S28" s="3">
        <f>+output[[#This Row],[Ocupación Polideportivo]]/91</f>
        <v>0.62637362637362637</v>
      </c>
      <c r="T28" s="5">
        <f>+output[[#This Row],[Rechazados acumulados]]-O27</f>
        <v>0</v>
      </c>
    </row>
    <row r="29" spans="1:20" x14ac:dyDescent="0.25">
      <c r="A29" t="s">
        <v>21</v>
      </c>
      <c r="B29" t="s">
        <v>10</v>
      </c>
      <c r="C29">
        <v>12</v>
      </c>
      <c r="D29">
        <v>16</v>
      </c>
      <c r="E29">
        <v>74</v>
      </c>
      <c r="F29">
        <v>5</v>
      </c>
      <c r="G29">
        <v>14</v>
      </c>
      <c r="H29">
        <v>41</v>
      </c>
      <c r="I29">
        <v>8</v>
      </c>
      <c r="J29">
        <v>15</v>
      </c>
      <c r="K29" s="2">
        <v>50</v>
      </c>
      <c r="L29">
        <v>25</v>
      </c>
      <c r="M29">
        <v>45</v>
      </c>
      <c r="N29">
        <v>165</v>
      </c>
      <c r="O29">
        <v>10</v>
      </c>
      <c r="P29" s="4">
        <f>+output[[#This Row],[OcupTotal]]/264</f>
        <v>0.625</v>
      </c>
      <c r="Q29" s="3">
        <f>+output[[#This Row],[Ocupación Externo]]/100</f>
        <v>0.74</v>
      </c>
      <c r="R29" s="3">
        <f>+output[[#This Row],[Ocupación Central]]/73</f>
        <v>0.56164383561643838</v>
      </c>
      <c r="S29" s="3">
        <f>+output[[#This Row],[Ocupación Polideportivo]]/91</f>
        <v>0.5494505494505495</v>
      </c>
      <c r="T29" s="5">
        <f>+output[[#This Row],[Rechazados acumulados]]-O28</f>
        <v>0</v>
      </c>
    </row>
    <row r="30" spans="1:20" x14ac:dyDescent="0.25">
      <c r="A30" t="s">
        <v>21</v>
      </c>
      <c r="B30" t="s">
        <v>11</v>
      </c>
      <c r="C30">
        <v>10</v>
      </c>
      <c r="D30">
        <v>20</v>
      </c>
      <c r="E30">
        <v>64</v>
      </c>
      <c r="F30">
        <v>13</v>
      </c>
      <c r="G30">
        <v>12</v>
      </c>
      <c r="H30">
        <v>43</v>
      </c>
      <c r="I30">
        <v>21</v>
      </c>
      <c r="J30">
        <v>16</v>
      </c>
      <c r="K30" s="2">
        <v>55</v>
      </c>
      <c r="L30">
        <v>44</v>
      </c>
      <c r="M30">
        <v>48</v>
      </c>
      <c r="N30">
        <v>162</v>
      </c>
      <c r="O30">
        <v>10</v>
      </c>
      <c r="P30" s="4">
        <f>+output[[#This Row],[OcupTotal]]/264</f>
        <v>0.61363636363636365</v>
      </c>
      <c r="Q30" s="3">
        <f>+output[[#This Row],[Ocupación Externo]]/100</f>
        <v>0.64</v>
      </c>
      <c r="R30" s="3">
        <f>+output[[#This Row],[Ocupación Central]]/73</f>
        <v>0.58904109589041098</v>
      </c>
      <c r="S30" s="3">
        <f>+output[[#This Row],[Ocupación Polideportivo]]/91</f>
        <v>0.60439560439560436</v>
      </c>
      <c r="T30" s="5">
        <f>+output[[#This Row],[Rechazados acumulados]]-O29</f>
        <v>0</v>
      </c>
    </row>
    <row r="31" spans="1:20" x14ac:dyDescent="0.25">
      <c r="A31" t="s">
        <v>21</v>
      </c>
      <c r="B31" t="s">
        <v>12</v>
      </c>
      <c r="C31">
        <v>15</v>
      </c>
      <c r="D31">
        <v>18</v>
      </c>
      <c r="E31">
        <v>61</v>
      </c>
      <c r="F31">
        <v>7</v>
      </c>
      <c r="G31">
        <v>13</v>
      </c>
      <c r="H31">
        <v>36</v>
      </c>
      <c r="I31">
        <v>12</v>
      </c>
      <c r="J31">
        <v>11</v>
      </c>
      <c r="K31" s="2">
        <v>57</v>
      </c>
      <c r="L31">
        <v>34</v>
      </c>
      <c r="M31">
        <v>42</v>
      </c>
      <c r="N31">
        <v>154</v>
      </c>
      <c r="O31">
        <v>10</v>
      </c>
      <c r="P31" s="4">
        <f>+output[[#This Row],[OcupTotal]]/264</f>
        <v>0.58333333333333337</v>
      </c>
      <c r="Q31" s="3">
        <f>+output[[#This Row],[Ocupación Externo]]/100</f>
        <v>0.61</v>
      </c>
      <c r="R31" s="3">
        <f>+output[[#This Row],[Ocupación Central]]/73</f>
        <v>0.49315068493150682</v>
      </c>
      <c r="S31" s="3">
        <f>+output[[#This Row],[Ocupación Polideportivo]]/91</f>
        <v>0.62637362637362637</v>
      </c>
      <c r="T31" s="5">
        <f>+output[[#This Row],[Rechazados acumulados]]-O30</f>
        <v>0</v>
      </c>
    </row>
    <row r="32" spans="1:20" x14ac:dyDescent="0.25">
      <c r="A32" t="s">
        <v>21</v>
      </c>
      <c r="B32" t="s">
        <v>13</v>
      </c>
      <c r="C32">
        <v>13</v>
      </c>
      <c r="D32">
        <v>18</v>
      </c>
      <c r="E32">
        <v>56</v>
      </c>
      <c r="F32">
        <v>11</v>
      </c>
      <c r="G32">
        <v>6</v>
      </c>
      <c r="H32">
        <v>41</v>
      </c>
      <c r="I32">
        <v>17</v>
      </c>
      <c r="J32">
        <v>8</v>
      </c>
      <c r="K32" s="2">
        <v>65</v>
      </c>
      <c r="L32">
        <v>41</v>
      </c>
      <c r="M32">
        <v>32</v>
      </c>
      <c r="N32">
        <v>162</v>
      </c>
      <c r="O32">
        <v>10</v>
      </c>
      <c r="P32" s="4">
        <f>+output[[#This Row],[OcupTotal]]/264</f>
        <v>0.61363636363636365</v>
      </c>
      <c r="Q32" s="3">
        <f>+output[[#This Row],[Ocupación Externo]]/100</f>
        <v>0.56000000000000005</v>
      </c>
      <c r="R32" s="3">
        <f>+output[[#This Row],[Ocupación Central]]/73</f>
        <v>0.56164383561643838</v>
      </c>
      <c r="S32" s="3">
        <f>+output[[#This Row],[Ocupación Polideportivo]]/91</f>
        <v>0.7142857142857143</v>
      </c>
      <c r="T32" s="5">
        <f>+output[[#This Row],[Rechazados acumulados]]-O31</f>
        <v>0</v>
      </c>
    </row>
    <row r="33" spans="1:20" x14ac:dyDescent="0.25">
      <c r="A33" t="s">
        <v>21</v>
      </c>
      <c r="B33" t="s">
        <v>14</v>
      </c>
      <c r="C33">
        <v>33</v>
      </c>
      <c r="D33">
        <v>17</v>
      </c>
      <c r="E33">
        <v>73</v>
      </c>
      <c r="F33">
        <v>30</v>
      </c>
      <c r="G33">
        <v>9</v>
      </c>
      <c r="H33">
        <v>62</v>
      </c>
      <c r="I33">
        <v>36</v>
      </c>
      <c r="J33">
        <v>13</v>
      </c>
      <c r="K33" s="2">
        <v>88</v>
      </c>
      <c r="L33">
        <v>99</v>
      </c>
      <c r="M33">
        <v>39</v>
      </c>
      <c r="N33">
        <v>223</v>
      </c>
      <c r="O33">
        <v>13</v>
      </c>
      <c r="P33" s="4">
        <f>+output[[#This Row],[OcupTotal]]/264</f>
        <v>0.84469696969696972</v>
      </c>
      <c r="Q33" s="3">
        <f>+output[[#This Row],[Ocupación Externo]]/100</f>
        <v>0.73</v>
      </c>
      <c r="R33" s="3">
        <f>+output[[#This Row],[Ocupación Central]]/73</f>
        <v>0.84931506849315064</v>
      </c>
      <c r="S33" s="3">
        <f>+output[[#This Row],[Ocupación Polideportivo]]/91</f>
        <v>0.96703296703296704</v>
      </c>
      <c r="T33" s="5">
        <f>+output[[#This Row],[Rechazados acumulados]]-O32</f>
        <v>3</v>
      </c>
    </row>
    <row r="34" spans="1:20" x14ac:dyDescent="0.25">
      <c r="A34" t="s">
        <v>21</v>
      </c>
      <c r="B34" t="s">
        <v>15</v>
      </c>
      <c r="C34">
        <v>35</v>
      </c>
      <c r="D34">
        <v>9</v>
      </c>
      <c r="E34">
        <v>98</v>
      </c>
      <c r="F34">
        <v>22</v>
      </c>
      <c r="G34">
        <v>11</v>
      </c>
      <c r="H34">
        <v>73</v>
      </c>
      <c r="I34">
        <v>15</v>
      </c>
      <c r="J34">
        <v>12</v>
      </c>
      <c r="K34" s="2">
        <v>91</v>
      </c>
      <c r="L34">
        <v>72</v>
      </c>
      <c r="M34">
        <v>32</v>
      </c>
      <c r="N34">
        <v>262</v>
      </c>
      <c r="O34">
        <v>16</v>
      </c>
      <c r="P34" s="4">
        <f>+output[[#This Row],[OcupTotal]]/264</f>
        <v>0.99242424242424243</v>
      </c>
      <c r="Q34" s="3">
        <f>+output[[#This Row],[Ocupación Externo]]/100</f>
        <v>0.98</v>
      </c>
      <c r="R34" s="3">
        <f>+output[[#This Row],[Ocupación Central]]/73</f>
        <v>1</v>
      </c>
      <c r="S34" s="3">
        <f>+output[[#This Row],[Ocupación Polideportivo]]/91</f>
        <v>1</v>
      </c>
      <c r="T34" s="5">
        <f>+output[[#This Row],[Rechazados acumulados]]-O33</f>
        <v>3</v>
      </c>
    </row>
    <row r="35" spans="1:20" x14ac:dyDescent="0.25">
      <c r="A35" t="s">
        <v>21</v>
      </c>
      <c r="B35" t="s">
        <v>16</v>
      </c>
      <c r="C35">
        <v>14</v>
      </c>
      <c r="D35">
        <v>12</v>
      </c>
      <c r="E35">
        <v>100</v>
      </c>
      <c r="F35">
        <v>6</v>
      </c>
      <c r="G35">
        <v>6</v>
      </c>
      <c r="H35">
        <v>73</v>
      </c>
      <c r="I35">
        <v>8</v>
      </c>
      <c r="J35">
        <v>8</v>
      </c>
      <c r="K35" s="2">
        <v>91</v>
      </c>
      <c r="L35">
        <v>28</v>
      </c>
      <c r="M35">
        <v>26</v>
      </c>
      <c r="N35">
        <v>264</v>
      </c>
      <c r="O35">
        <v>16</v>
      </c>
      <c r="P35" s="4">
        <f>+output[[#This Row],[OcupTotal]]/264</f>
        <v>1</v>
      </c>
      <c r="Q35" s="3">
        <f>+output[[#This Row],[Ocupación Externo]]/100</f>
        <v>1</v>
      </c>
      <c r="R35" s="3">
        <f>+output[[#This Row],[Ocupación Central]]/73</f>
        <v>1</v>
      </c>
      <c r="S35" s="3">
        <f>+output[[#This Row],[Ocupación Polideportivo]]/91</f>
        <v>1</v>
      </c>
      <c r="T35" s="5">
        <f>+output[[#This Row],[Rechazados acumulados]]-O34</f>
        <v>0</v>
      </c>
    </row>
    <row r="36" spans="1:20" x14ac:dyDescent="0.25">
      <c r="A36" t="s">
        <v>21</v>
      </c>
      <c r="B36" t="s">
        <v>17</v>
      </c>
      <c r="C36">
        <v>15</v>
      </c>
      <c r="D36">
        <v>15</v>
      </c>
      <c r="E36">
        <v>100</v>
      </c>
      <c r="F36">
        <v>10</v>
      </c>
      <c r="G36">
        <v>10</v>
      </c>
      <c r="H36">
        <v>73</v>
      </c>
      <c r="I36">
        <v>18</v>
      </c>
      <c r="J36">
        <v>18</v>
      </c>
      <c r="K36" s="2">
        <v>91</v>
      </c>
      <c r="L36">
        <v>43</v>
      </c>
      <c r="M36">
        <v>43</v>
      </c>
      <c r="N36">
        <v>264</v>
      </c>
      <c r="O36">
        <v>16</v>
      </c>
      <c r="P36" s="4">
        <f>+output[[#This Row],[OcupTotal]]/264</f>
        <v>1</v>
      </c>
      <c r="Q36" s="3">
        <f>+output[[#This Row],[Ocupación Externo]]/100</f>
        <v>1</v>
      </c>
      <c r="R36" s="3">
        <f>+output[[#This Row],[Ocupación Central]]/73</f>
        <v>1</v>
      </c>
      <c r="S36" s="3">
        <f>+output[[#This Row],[Ocupación Polideportivo]]/91</f>
        <v>1</v>
      </c>
      <c r="T36" s="5">
        <f>+output[[#This Row],[Rechazados acumulados]]-O35</f>
        <v>0</v>
      </c>
    </row>
    <row r="37" spans="1:20" x14ac:dyDescent="0.25">
      <c r="A37" t="s">
        <v>21</v>
      </c>
      <c r="B37" t="s">
        <v>18</v>
      </c>
      <c r="C37">
        <v>13</v>
      </c>
      <c r="D37">
        <v>19</v>
      </c>
      <c r="E37">
        <v>95</v>
      </c>
      <c r="F37">
        <v>13</v>
      </c>
      <c r="G37">
        <v>13</v>
      </c>
      <c r="H37">
        <v>73</v>
      </c>
      <c r="I37">
        <v>22</v>
      </c>
      <c r="J37">
        <v>32</v>
      </c>
      <c r="K37" s="2">
        <v>81</v>
      </c>
      <c r="L37">
        <v>48</v>
      </c>
      <c r="M37">
        <v>64</v>
      </c>
      <c r="N37">
        <v>249</v>
      </c>
      <c r="O37">
        <v>16</v>
      </c>
      <c r="P37" s="4">
        <f>+output[[#This Row],[OcupTotal]]/264</f>
        <v>0.94318181818181823</v>
      </c>
      <c r="Q37" s="3">
        <f>+output[[#This Row],[Ocupación Externo]]/100</f>
        <v>0.95</v>
      </c>
      <c r="R37" s="3">
        <f>+output[[#This Row],[Ocupación Central]]/73</f>
        <v>1</v>
      </c>
      <c r="S37" s="3">
        <f>+output[[#This Row],[Ocupación Polideportivo]]/91</f>
        <v>0.89010989010989006</v>
      </c>
      <c r="T37" s="5">
        <f>+output[[#This Row],[Rechazados acumulados]]-O36</f>
        <v>0</v>
      </c>
    </row>
    <row r="38" spans="1:20" hidden="1" x14ac:dyDescent="0.25">
      <c r="A38" t="s">
        <v>21</v>
      </c>
      <c r="B38" t="s">
        <v>19</v>
      </c>
      <c r="C38">
        <v>0</v>
      </c>
      <c r="D38">
        <v>25</v>
      </c>
      <c r="E38">
        <v>69</v>
      </c>
      <c r="F38">
        <v>0</v>
      </c>
      <c r="G38">
        <v>19</v>
      </c>
      <c r="H38">
        <v>55</v>
      </c>
      <c r="I38">
        <v>0</v>
      </c>
      <c r="J38">
        <v>15</v>
      </c>
      <c r="K38">
        <v>66</v>
      </c>
      <c r="L38">
        <v>0</v>
      </c>
      <c r="M38">
        <v>59</v>
      </c>
      <c r="N38">
        <v>190</v>
      </c>
      <c r="O38">
        <v>16</v>
      </c>
      <c r="P38">
        <f>+output[[#This Row],[OcupTotal]]/264</f>
        <v>0.71969696969696972</v>
      </c>
      <c r="Q38">
        <f>+output[[#This Row],[Ocupación Externo]]/100</f>
        <v>0.69</v>
      </c>
      <c r="R38">
        <f>+output[[#This Row],[Ocupación Central]]/73</f>
        <v>0.75342465753424659</v>
      </c>
      <c r="S38" s="5">
        <f>+output[[#This Row],[Ocupación Polideportivo]]/91</f>
        <v>0.72527472527472525</v>
      </c>
      <c r="T38" s="5">
        <f>+output[[#This Row],[Rechazados acumulados]]-O37</f>
        <v>0</v>
      </c>
    </row>
    <row r="39" spans="1:20" hidden="1" x14ac:dyDescent="0.25">
      <c r="A39" t="s">
        <v>21</v>
      </c>
      <c r="B39" t="s">
        <v>20</v>
      </c>
      <c r="C39">
        <v>0</v>
      </c>
      <c r="D39">
        <v>24</v>
      </c>
      <c r="E39">
        <v>45</v>
      </c>
      <c r="F39">
        <v>0</v>
      </c>
      <c r="G39">
        <v>20</v>
      </c>
      <c r="H39">
        <v>34</v>
      </c>
      <c r="I39">
        <v>0</v>
      </c>
      <c r="J39">
        <v>21</v>
      </c>
      <c r="K39">
        <v>46</v>
      </c>
      <c r="L39">
        <v>0</v>
      </c>
      <c r="M39">
        <v>65</v>
      </c>
      <c r="N39">
        <v>125</v>
      </c>
      <c r="O39">
        <v>16</v>
      </c>
      <c r="P39">
        <f>+output[[#This Row],[OcupTotal]]/264</f>
        <v>0.47348484848484851</v>
      </c>
      <c r="Q39">
        <f>+output[[#This Row],[Ocupación Externo]]/100</f>
        <v>0.45</v>
      </c>
      <c r="R39">
        <f>+output[[#This Row],[Ocupación Central]]/73</f>
        <v>0.46575342465753422</v>
      </c>
      <c r="S39" s="5">
        <f>+output[[#This Row],[Ocupación Polideportivo]]/91</f>
        <v>0.50549450549450547</v>
      </c>
      <c r="T39" s="5">
        <f>+output[[#This Row],[Rechazados acumulados]]-O38</f>
        <v>0</v>
      </c>
    </row>
    <row r="40" spans="1:20" hidden="1" x14ac:dyDescent="0.25">
      <c r="A40" t="s">
        <v>26</v>
      </c>
      <c r="B40" t="s">
        <v>22</v>
      </c>
      <c r="C40">
        <v>0</v>
      </c>
      <c r="D40">
        <v>19</v>
      </c>
      <c r="E40">
        <v>26</v>
      </c>
      <c r="F40">
        <v>0</v>
      </c>
      <c r="G40">
        <v>7</v>
      </c>
      <c r="H40">
        <v>27</v>
      </c>
      <c r="I40">
        <v>0</v>
      </c>
      <c r="J40">
        <v>18</v>
      </c>
      <c r="K40">
        <v>28</v>
      </c>
      <c r="L40">
        <v>0</v>
      </c>
      <c r="M40">
        <v>44</v>
      </c>
      <c r="N40">
        <v>81</v>
      </c>
      <c r="O40">
        <v>16</v>
      </c>
      <c r="P40">
        <f>+output[[#This Row],[OcupTotal]]/264</f>
        <v>0.30681818181818182</v>
      </c>
      <c r="Q40">
        <f>+output[[#This Row],[Ocupación Externo]]/100</f>
        <v>0.26</v>
      </c>
      <c r="R40">
        <f>+output[[#This Row],[Ocupación Central]]/73</f>
        <v>0.36986301369863012</v>
      </c>
      <c r="S40" s="5">
        <f>+output[[#This Row],[Ocupación Polideportivo]]/91</f>
        <v>0.30769230769230771</v>
      </c>
      <c r="T40" s="5">
        <f>+output[[#This Row],[Rechazados acumulados]]-O39</f>
        <v>0</v>
      </c>
    </row>
    <row r="41" spans="1:20" hidden="1" x14ac:dyDescent="0.25">
      <c r="A41" t="s">
        <v>26</v>
      </c>
      <c r="B41" t="s">
        <v>23</v>
      </c>
      <c r="C41">
        <v>0</v>
      </c>
      <c r="D41">
        <v>8</v>
      </c>
      <c r="E41">
        <v>18</v>
      </c>
      <c r="F41">
        <v>0</v>
      </c>
      <c r="G41">
        <v>16</v>
      </c>
      <c r="H41">
        <v>11</v>
      </c>
      <c r="I41">
        <v>0</v>
      </c>
      <c r="J41">
        <v>14</v>
      </c>
      <c r="K41">
        <v>14</v>
      </c>
      <c r="L41">
        <v>0</v>
      </c>
      <c r="M41">
        <v>38</v>
      </c>
      <c r="N41">
        <v>43</v>
      </c>
      <c r="O41">
        <v>16</v>
      </c>
      <c r="P41">
        <f>+output[[#This Row],[OcupTotal]]/264</f>
        <v>0.16287878787878787</v>
      </c>
      <c r="Q41">
        <f>+output[[#This Row],[Ocupación Externo]]/100</f>
        <v>0.18</v>
      </c>
      <c r="R41">
        <f>+output[[#This Row],[Ocupación Central]]/73</f>
        <v>0.15068493150684931</v>
      </c>
      <c r="S41" s="5">
        <f>+output[[#This Row],[Ocupación Polideportivo]]/91</f>
        <v>0.15384615384615385</v>
      </c>
      <c r="T41" s="5">
        <f>+output[[#This Row],[Rechazados acumulados]]-O40</f>
        <v>0</v>
      </c>
    </row>
    <row r="42" spans="1:20" hidden="1" x14ac:dyDescent="0.25">
      <c r="A42" t="s">
        <v>26</v>
      </c>
      <c r="B42" t="s">
        <v>24</v>
      </c>
      <c r="C42">
        <v>0</v>
      </c>
      <c r="D42">
        <v>13</v>
      </c>
      <c r="E42">
        <v>5</v>
      </c>
      <c r="F42">
        <v>0</v>
      </c>
      <c r="G42">
        <v>7</v>
      </c>
      <c r="H42">
        <v>4</v>
      </c>
      <c r="I42">
        <v>0</v>
      </c>
      <c r="J42">
        <v>7</v>
      </c>
      <c r="K42">
        <v>7</v>
      </c>
      <c r="L42">
        <v>0</v>
      </c>
      <c r="M42">
        <v>27</v>
      </c>
      <c r="N42">
        <v>16</v>
      </c>
      <c r="O42">
        <v>16</v>
      </c>
      <c r="P42">
        <f>+output[[#This Row],[OcupTotal]]/264</f>
        <v>6.0606060606060608E-2</v>
      </c>
      <c r="Q42">
        <f>+output[[#This Row],[Ocupación Externo]]/100</f>
        <v>0.05</v>
      </c>
      <c r="R42">
        <f>+output[[#This Row],[Ocupación Central]]/73</f>
        <v>5.4794520547945202E-2</v>
      </c>
      <c r="S42" s="5">
        <f>+output[[#This Row],[Ocupación Polideportivo]]/91</f>
        <v>7.6923076923076927E-2</v>
      </c>
      <c r="T42" s="5">
        <f>+output[[#This Row],[Rechazados acumulados]]-O41</f>
        <v>0</v>
      </c>
    </row>
    <row r="43" spans="1:20" hidden="1" x14ac:dyDescent="0.25">
      <c r="A43" t="s">
        <v>26</v>
      </c>
      <c r="B43" t="s">
        <v>25</v>
      </c>
      <c r="C43">
        <v>0</v>
      </c>
      <c r="D43">
        <v>5</v>
      </c>
      <c r="E43">
        <v>1</v>
      </c>
      <c r="F43">
        <v>0</v>
      </c>
      <c r="G43">
        <v>3</v>
      </c>
      <c r="H43">
        <v>1</v>
      </c>
      <c r="I43">
        <v>0</v>
      </c>
      <c r="J43">
        <v>5</v>
      </c>
      <c r="K43">
        <v>1</v>
      </c>
      <c r="L43">
        <v>0</v>
      </c>
      <c r="M43">
        <v>13</v>
      </c>
      <c r="N43">
        <v>3</v>
      </c>
      <c r="O43">
        <v>16</v>
      </c>
      <c r="P43">
        <f>+output[[#This Row],[OcupTotal]]/264</f>
        <v>1.1363636363636364E-2</v>
      </c>
      <c r="Q43">
        <f>+output[[#This Row],[Ocupación Externo]]/100</f>
        <v>0.01</v>
      </c>
      <c r="R43">
        <f>+output[[#This Row],[Ocupación Central]]/73</f>
        <v>1.3698630136986301E-2</v>
      </c>
      <c r="S43" s="5">
        <f>+output[[#This Row],[Ocupación Polideportivo]]/91</f>
        <v>1.098901098901099E-2</v>
      </c>
      <c r="T43" s="5">
        <f>+output[[#This Row],[Rechazados acumulados]]-O42</f>
        <v>0</v>
      </c>
    </row>
    <row r="44" spans="1:20" hidden="1" x14ac:dyDescent="0.25">
      <c r="A44" t="s">
        <v>26</v>
      </c>
      <c r="B44" t="s">
        <v>27</v>
      </c>
      <c r="C44">
        <v>0</v>
      </c>
      <c r="D44">
        <v>0</v>
      </c>
      <c r="E44">
        <v>0</v>
      </c>
      <c r="F44">
        <v>0</v>
      </c>
      <c r="G44">
        <v>0</v>
      </c>
      <c r="H44">
        <v>1</v>
      </c>
      <c r="I44">
        <v>0</v>
      </c>
      <c r="J44">
        <v>1</v>
      </c>
      <c r="K44">
        <v>1</v>
      </c>
      <c r="L44">
        <v>0</v>
      </c>
      <c r="M44">
        <v>1</v>
      </c>
      <c r="N44">
        <v>2</v>
      </c>
      <c r="O44">
        <v>16</v>
      </c>
      <c r="P44">
        <f>+output[[#This Row],[OcupTotal]]/264</f>
        <v>7.575757575757576E-3</v>
      </c>
      <c r="Q44">
        <f>+output[[#This Row],[Ocupación Externo]]/100</f>
        <v>0</v>
      </c>
      <c r="R44">
        <f>+output[[#This Row],[Ocupación Central]]/73</f>
        <v>1.3698630136986301E-2</v>
      </c>
      <c r="S44" s="5">
        <f>+output[[#This Row],[Ocupación Polideportivo]]/91</f>
        <v>1.098901098901099E-2</v>
      </c>
      <c r="T44" s="5">
        <f>+output[[#This Row],[Rechazados acumulados]]-O43</f>
        <v>0</v>
      </c>
    </row>
    <row r="45" spans="1:20" hidden="1" x14ac:dyDescent="0.25">
      <c r="A45" t="s">
        <v>26</v>
      </c>
      <c r="B45" t="s">
        <v>28</v>
      </c>
      <c r="C45">
        <v>0</v>
      </c>
      <c r="D45">
        <v>0</v>
      </c>
      <c r="E45">
        <v>0</v>
      </c>
      <c r="F45">
        <v>0</v>
      </c>
      <c r="G45">
        <v>1</v>
      </c>
      <c r="H45">
        <v>1</v>
      </c>
      <c r="I45">
        <v>0</v>
      </c>
      <c r="J45">
        <v>0</v>
      </c>
      <c r="K45">
        <v>0</v>
      </c>
      <c r="L45">
        <v>0</v>
      </c>
      <c r="M45">
        <v>1</v>
      </c>
      <c r="N45">
        <v>1</v>
      </c>
      <c r="O45">
        <v>16</v>
      </c>
      <c r="P45">
        <f>+output[[#This Row],[OcupTotal]]/264</f>
        <v>3.787878787878788E-3</v>
      </c>
      <c r="Q45">
        <f>+output[[#This Row],[Ocupación Externo]]/100</f>
        <v>0</v>
      </c>
      <c r="R45">
        <f>+output[[#This Row],[Ocupación Central]]/73</f>
        <v>1.3698630136986301E-2</v>
      </c>
      <c r="S45" s="5">
        <f>+output[[#This Row],[Ocupación Polideportivo]]/91</f>
        <v>0</v>
      </c>
      <c r="T45" s="5">
        <f>+output[[#This Row],[Rechazados acumulados]]-O44</f>
        <v>0</v>
      </c>
    </row>
    <row r="46" spans="1:20" x14ac:dyDescent="0.25">
      <c r="A46" t="s">
        <v>26</v>
      </c>
      <c r="B46" t="s">
        <v>4</v>
      </c>
      <c r="C46">
        <v>28</v>
      </c>
      <c r="D46">
        <v>0</v>
      </c>
      <c r="E46">
        <v>28</v>
      </c>
      <c r="F46">
        <v>28</v>
      </c>
      <c r="G46">
        <v>0</v>
      </c>
      <c r="H46">
        <v>28</v>
      </c>
      <c r="I46">
        <v>21</v>
      </c>
      <c r="J46">
        <v>0</v>
      </c>
      <c r="K46" s="2">
        <v>21</v>
      </c>
      <c r="L46">
        <v>77</v>
      </c>
      <c r="M46">
        <v>0</v>
      </c>
      <c r="N46">
        <v>77</v>
      </c>
      <c r="O46">
        <v>17</v>
      </c>
      <c r="P46" s="4">
        <f>+output[[#This Row],[OcupTotal]]/264</f>
        <v>0.29166666666666669</v>
      </c>
      <c r="Q46" s="3">
        <f>+output[[#This Row],[Ocupación Externo]]/100</f>
        <v>0.28000000000000003</v>
      </c>
      <c r="R46" s="3">
        <f>+output[[#This Row],[Ocupación Central]]/73</f>
        <v>0.38356164383561642</v>
      </c>
      <c r="S46" s="3">
        <f>+output[[#This Row],[Ocupación Polideportivo]]/91</f>
        <v>0.23076923076923078</v>
      </c>
      <c r="T46" s="5">
        <f>+output[[#This Row],[Rechazados acumulados]]-O45</f>
        <v>1</v>
      </c>
    </row>
    <row r="47" spans="1:20" x14ac:dyDescent="0.25">
      <c r="A47" t="s">
        <v>26</v>
      </c>
      <c r="B47" t="s">
        <v>5</v>
      </c>
      <c r="C47">
        <v>37</v>
      </c>
      <c r="D47">
        <v>0</v>
      </c>
      <c r="E47">
        <v>65</v>
      </c>
      <c r="F47">
        <v>23</v>
      </c>
      <c r="G47">
        <v>0</v>
      </c>
      <c r="H47">
        <v>51</v>
      </c>
      <c r="I47">
        <v>25</v>
      </c>
      <c r="J47">
        <v>0</v>
      </c>
      <c r="K47" s="2">
        <v>46</v>
      </c>
      <c r="L47">
        <v>85</v>
      </c>
      <c r="M47">
        <v>0</v>
      </c>
      <c r="N47">
        <v>162</v>
      </c>
      <c r="O47">
        <v>17</v>
      </c>
      <c r="P47" s="4">
        <f>+output[[#This Row],[OcupTotal]]/264</f>
        <v>0.61363636363636365</v>
      </c>
      <c r="Q47" s="3">
        <f>+output[[#This Row],[Ocupación Externo]]/100</f>
        <v>0.65</v>
      </c>
      <c r="R47" s="3">
        <f>+output[[#This Row],[Ocupación Central]]/73</f>
        <v>0.69863013698630139</v>
      </c>
      <c r="S47" s="3">
        <f>+output[[#This Row],[Ocupación Polideportivo]]/91</f>
        <v>0.50549450549450547</v>
      </c>
      <c r="T47" s="5">
        <f>+output[[#This Row],[Rechazados acumulados]]-O46</f>
        <v>0</v>
      </c>
    </row>
    <row r="48" spans="1:20" x14ac:dyDescent="0.25">
      <c r="A48" t="s">
        <v>26</v>
      </c>
      <c r="B48" t="s">
        <v>6</v>
      </c>
      <c r="C48">
        <v>13</v>
      </c>
      <c r="D48">
        <v>0</v>
      </c>
      <c r="E48">
        <v>78</v>
      </c>
      <c r="F48">
        <v>6</v>
      </c>
      <c r="G48">
        <v>0</v>
      </c>
      <c r="H48">
        <v>57</v>
      </c>
      <c r="I48">
        <v>17</v>
      </c>
      <c r="J48">
        <v>0</v>
      </c>
      <c r="K48" s="2">
        <v>63</v>
      </c>
      <c r="L48">
        <v>36</v>
      </c>
      <c r="M48">
        <v>0</v>
      </c>
      <c r="N48">
        <v>198</v>
      </c>
      <c r="O48">
        <v>17</v>
      </c>
      <c r="P48" s="4">
        <f>+output[[#This Row],[OcupTotal]]/264</f>
        <v>0.75</v>
      </c>
      <c r="Q48" s="3">
        <f>+output[[#This Row],[Ocupación Externo]]/100</f>
        <v>0.78</v>
      </c>
      <c r="R48" s="3">
        <f>+output[[#This Row],[Ocupación Central]]/73</f>
        <v>0.78082191780821919</v>
      </c>
      <c r="S48" s="3">
        <f>+output[[#This Row],[Ocupación Polideportivo]]/91</f>
        <v>0.69230769230769229</v>
      </c>
      <c r="T48" s="5">
        <f>+output[[#This Row],[Rechazados acumulados]]-O47</f>
        <v>0</v>
      </c>
    </row>
    <row r="49" spans="1:20" x14ac:dyDescent="0.25">
      <c r="A49" t="s">
        <v>26</v>
      </c>
      <c r="B49" t="s">
        <v>7</v>
      </c>
      <c r="C49">
        <v>15</v>
      </c>
      <c r="D49">
        <v>4</v>
      </c>
      <c r="E49">
        <v>89</v>
      </c>
      <c r="F49">
        <v>6</v>
      </c>
      <c r="G49">
        <v>4</v>
      </c>
      <c r="H49">
        <v>60</v>
      </c>
      <c r="I49">
        <v>15</v>
      </c>
      <c r="J49">
        <v>5</v>
      </c>
      <c r="K49" s="2">
        <v>73</v>
      </c>
      <c r="L49">
        <v>36</v>
      </c>
      <c r="M49">
        <v>13</v>
      </c>
      <c r="N49">
        <v>222</v>
      </c>
      <c r="O49">
        <v>17</v>
      </c>
      <c r="P49" s="4">
        <f>+output[[#This Row],[OcupTotal]]/264</f>
        <v>0.84090909090909094</v>
      </c>
      <c r="Q49" s="3">
        <f>+output[[#This Row],[Ocupación Externo]]/100</f>
        <v>0.89</v>
      </c>
      <c r="R49" s="3">
        <f>+output[[#This Row],[Ocupación Central]]/73</f>
        <v>0.82191780821917804</v>
      </c>
      <c r="S49" s="3">
        <f>+output[[#This Row],[Ocupación Polideportivo]]/91</f>
        <v>0.80219780219780223</v>
      </c>
      <c r="T49" s="5">
        <f>+output[[#This Row],[Rechazados acumulados]]-O48</f>
        <v>0</v>
      </c>
    </row>
    <row r="50" spans="1:20" x14ac:dyDescent="0.25">
      <c r="A50" t="s">
        <v>26</v>
      </c>
      <c r="B50" t="s">
        <v>8</v>
      </c>
      <c r="C50">
        <v>20</v>
      </c>
      <c r="D50">
        <v>15</v>
      </c>
      <c r="E50">
        <v>94</v>
      </c>
      <c r="F50">
        <v>9</v>
      </c>
      <c r="G50">
        <v>14</v>
      </c>
      <c r="H50">
        <v>54</v>
      </c>
      <c r="I50">
        <v>12</v>
      </c>
      <c r="J50">
        <v>9</v>
      </c>
      <c r="K50" s="2">
        <v>77</v>
      </c>
      <c r="L50">
        <v>41</v>
      </c>
      <c r="M50">
        <v>38</v>
      </c>
      <c r="N50">
        <v>225</v>
      </c>
      <c r="O50">
        <v>17</v>
      </c>
      <c r="P50" s="4">
        <f>+output[[#This Row],[OcupTotal]]/264</f>
        <v>0.85227272727272729</v>
      </c>
      <c r="Q50" s="3">
        <f>+output[[#This Row],[Ocupación Externo]]/100</f>
        <v>0.94</v>
      </c>
      <c r="R50" s="3">
        <f>+output[[#This Row],[Ocupación Central]]/73</f>
        <v>0.73972602739726023</v>
      </c>
      <c r="S50" s="3">
        <f>+output[[#This Row],[Ocupación Polideportivo]]/91</f>
        <v>0.84615384615384615</v>
      </c>
      <c r="T50" s="5">
        <f>+output[[#This Row],[Rechazados acumulados]]-O49</f>
        <v>0</v>
      </c>
    </row>
    <row r="51" spans="1:20" x14ac:dyDescent="0.25">
      <c r="A51" t="s">
        <v>26</v>
      </c>
      <c r="B51" t="s">
        <v>9</v>
      </c>
      <c r="C51">
        <v>8</v>
      </c>
      <c r="D51">
        <v>20</v>
      </c>
      <c r="E51">
        <v>82</v>
      </c>
      <c r="F51">
        <v>9</v>
      </c>
      <c r="G51">
        <v>13</v>
      </c>
      <c r="H51">
        <v>51</v>
      </c>
      <c r="I51">
        <v>8</v>
      </c>
      <c r="J51">
        <v>11</v>
      </c>
      <c r="K51" s="2">
        <v>73</v>
      </c>
      <c r="L51">
        <v>25</v>
      </c>
      <c r="M51">
        <v>44</v>
      </c>
      <c r="N51">
        <v>206</v>
      </c>
      <c r="O51">
        <v>17</v>
      </c>
      <c r="P51" s="4">
        <f>+output[[#This Row],[OcupTotal]]/264</f>
        <v>0.78030303030303028</v>
      </c>
      <c r="Q51" s="3">
        <f>+output[[#This Row],[Ocupación Externo]]/100</f>
        <v>0.82</v>
      </c>
      <c r="R51" s="3">
        <f>+output[[#This Row],[Ocupación Central]]/73</f>
        <v>0.69863013698630139</v>
      </c>
      <c r="S51" s="3">
        <f>+output[[#This Row],[Ocupación Polideportivo]]/91</f>
        <v>0.80219780219780223</v>
      </c>
      <c r="T51" s="5">
        <f>+output[[#This Row],[Rechazados acumulados]]-O50</f>
        <v>0</v>
      </c>
    </row>
    <row r="52" spans="1:20" x14ac:dyDescent="0.25">
      <c r="A52" t="s">
        <v>26</v>
      </c>
      <c r="B52" t="s">
        <v>10</v>
      </c>
      <c r="C52">
        <v>5</v>
      </c>
      <c r="D52">
        <v>14</v>
      </c>
      <c r="E52">
        <v>74</v>
      </c>
      <c r="F52">
        <v>8</v>
      </c>
      <c r="G52">
        <v>15</v>
      </c>
      <c r="H52">
        <v>43</v>
      </c>
      <c r="I52">
        <v>6</v>
      </c>
      <c r="J52">
        <v>29</v>
      </c>
      <c r="K52" s="2">
        <v>50</v>
      </c>
      <c r="L52">
        <v>19</v>
      </c>
      <c r="M52">
        <v>58</v>
      </c>
      <c r="N52">
        <v>167</v>
      </c>
      <c r="O52">
        <v>17</v>
      </c>
      <c r="P52" s="4">
        <f>+output[[#This Row],[OcupTotal]]/264</f>
        <v>0.63257575757575757</v>
      </c>
      <c r="Q52" s="3">
        <f>+output[[#This Row],[Ocupación Externo]]/100</f>
        <v>0.74</v>
      </c>
      <c r="R52" s="3">
        <f>+output[[#This Row],[Ocupación Central]]/73</f>
        <v>0.58904109589041098</v>
      </c>
      <c r="S52" s="3">
        <f>+output[[#This Row],[Ocupación Polideportivo]]/91</f>
        <v>0.5494505494505495</v>
      </c>
      <c r="T52" s="5">
        <f>+output[[#This Row],[Rechazados acumulados]]-O51</f>
        <v>0</v>
      </c>
    </row>
    <row r="53" spans="1:20" x14ac:dyDescent="0.25">
      <c r="A53" t="s">
        <v>26</v>
      </c>
      <c r="B53" t="s">
        <v>11</v>
      </c>
      <c r="C53">
        <v>11</v>
      </c>
      <c r="D53">
        <v>21</v>
      </c>
      <c r="E53">
        <v>63</v>
      </c>
      <c r="F53">
        <v>8</v>
      </c>
      <c r="G53">
        <v>11</v>
      </c>
      <c r="H53">
        <v>40</v>
      </c>
      <c r="I53">
        <v>10</v>
      </c>
      <c r="J53">
        <v>17</v>
      </c>
      <c r="K53" s="2">
        <v>44</v>
      </c>
      <c r="L53">
        <v>29</v>
      </c>
      <c r="M53">
        <v>49</v>
      </c>
      <c r="N53">
        <v>147</v>
      </c>
      <c r="O53">
        <v>17</v>
      </c>
      <c r="P53" s="4">
        <f>+output[[#This Row],[OcupTotal]]/264</f>
        <v>0.55681818181818177</v>
      </c>
      <c r="Q53" s="3">
        <f>+output[[#This Row],[Ocupación Externo]]/100</f>
        <v>0.63</v>
      </c>
      <c r="R53" s="3">
        <f>+output[[#This Row],[Ocupación Central]]/73</f>
        <v>0.54794520547945202</v>
      </c>
      <c r="S53" s="3">
        <f>+output[[#This Row],[Ocupación Polideportivo]]/91</f>
        <v>0.48351648351648352</v>
      </c>
      <c r="T53" s="5">
        <f>+output[[#This Row],[Rechazados acumulados]]-O52</f>
        <v>0</v>
      </c>
    </row>
    <row r="54" spans="1:20" x14ac:dyDescent="0.25">
      <c r="A54" t="s">
        <v>26</v>
      </c>
      <c r="B54" t="s">
        <v>12</v>
      </c>
      <c r="C54">
        <v>9</v>
      </c>
      <c r="D54">
        <v>21</v>
      </c>
      <c r="E54">
        <v>52</v>
      </c>
      <c r="F54">
        <v>8</v>
      </c>
      <c r="G54">
        <v>8</v>
      </c>
      <c r="H54">
        <v>40</v>
      </c>
      <c r="I54">
        <v>18</v>
      </c>
      <c r="J54">
        <v>11</v>
      </c>
      <c r="K54" s="2">
        <v>50</v>
      </c>
      <c r="L54">
        <v>35</v>
      </c>
      <c r="M54">
        <v>40</v>
      </c>
      <c r="N54">
        <v>142</v>
      </c>
      <c r="O54">
        <v>17</v>
      </c>
      <c r="P54" s="4">
        <f>+output[[#This Row],[OcupTotal]]/264</f>
        <v>0.53787878787878785</v>
      </c>
      <c r="Q54" s="3">
        <f>+output[[#This Row],[Ocupación Externo]]/100</f>
        <v>0.52</v>
      </c>
      <c r="R54" s="3">
        <f>+output[[#This Row],[Ocupación Central]]/73</f>
        <v>0.54794520547945202</v>
      </c>
      <c r="S54" s="3">
        <f>+output[[#This Row],[Ocupación Polideportivo]]/91</f>
        <v>0.5494505494505495</v>
      </c>
      <c r="T54" s="5">
        <f>+output[[#This Row],[Rechazados acumulados]]-O53</f>
        <v>0</v>
      </c>
    </row>
    <row r="55" spans="1:20" x14ac:dyDescent="0.25">
      <c r="A55" t="s">
        <v>26</v>
      </c>
      <c r="B55" t="s">
        <v>13</v>
      </c>
      <c r="C55">
        <v>19</v>
      </c>
      <c r="D55">
        <v>14</v>
      </c>
      <c r="E55">
        <v>56</v>
      </c>
      <c r="F55">
        <v>6</v>
      </c>
      <c r="G55">
        <v>5</v>
      </c>
      <c r="H55">
        <v>41</v>
      </c>
      <c r="I55">
        <v>7</v>
      </c>
      <c r="J55">
        <v>11</v>
      </c>
      <c r="K55" s="2">
        <v>46</v>
      </c>
      <c r="L55">
        <v>32</v>
      </c>
      <c r="M55">
        <v>30</v>
      </c>
      <c r="N55">
        <v>143</v>
      </c>
      <c r="O55">
        <v>17</v>
      </c>
      <c r="P55" s="4">
        <f>+output[[#This Row],[OcupTotal]]/264</f>
        <v>0.54166666666666663</v>
      </c>
      <c r="Q55" s="3">
        <f>+output[[#This Row],[Ocupación Externo]]/100</f>
        <v>0.56000000000000005</v>
      </c>
      <c r="R55" s="3">
        <f>+output[[#This Row],[Ocupación Central]]/73</f>
        <v>0.56164383561643838</v>
      </c>
      <c r="S55" s="3">
        <f>+output[[#This Row],[Ocupación Polideportivo]]/91</f>
        <v>0.50549450549450547</v>
      </c>
      <c r="T55" s="5">
        <f>+output[[#This Row],[Rechazados acumulados]]-O54</f>
        <v>0</v>
      </c>
    </row>
    <row r="56" spans="1:20" x14ac:dyDescent="0.25">
      <c r="A56" t="s">
        <v>26</v>
      </c>
      <c r="B56" t="s">
        <v>14</v>
      </c>
      <c r="C56">
        <v>31</v>
      </c>
      <c r="D56">
        <v>13</v>
      </c>
      <c r="E56">
        <v>74</v>
      </c>
      <c r="F56">
        <v>28</v>
      </c>
      <c r="G56">
        <v>10</v>
      </c>
      <c r="H56">
        <v>60</v>
      </c>
      <c r="I56">
        <v>29</v>
      </c>
      <c r="J56">
        <v>6</v>
      </c>
      <c r="K56" s="2">
        <v>69</v>
      </c>
      <c r="L56">
        <v>88</v>
      </c>
      <c r="M56">
        <v>29</v>
      </c>
      <c r="N56">
        <v>203</v>
      </c>
      <c r="O56">
        <v>19</v>
      </c>
      <c r="P56" s="4">
        <f>+output[[#This Row],[OcupTotal]]/264</f>
        <v>0.76893939393939392</v>
      </c>
      <c r="Q56" s="3">
        <f>+output[[#This Row],[Ocupación Externo]]/100</f>
        <v>0.74</v>
      </c>
      <c r="R56" s="3">
        <f>+output[[#This Row],[Ocupación Central]]/73</f>
        <v>0.82191780821917804</v>
      </c>
      <c r="S56" s="3">
        <f>+output[[#This Row],[Ocupación Polideportivo]]/91</f>
        <v>0.75824175824175821</v>
      </c>
      <c r="T56" s="5">
        <f>+output[[#This Row],[Rechazados acumulados]]-O55</f>
        <v>2</v>
      </c>
    </row>
    <row r="57" spans="1:20" x14ac:dyDescent="0.25">
      <c r="A57" t="s">
        <v>26</v>
      </c>
      <c r="B57" t="s">
        <v>15</v>
      </c>
      <c r="C57">
        <v>32</v>
      </c>
      <c r="D57">
        <v>7</v>
      </c>
      <c r="E57">
        <v>99</v>
      </c>
      <c r="F57">
        <v>23</v>
      </c>
      <c r="G57">
        <v>9</v>
      </c>
      <c r="H57">
        <v>73</v>
      </c>
      <c r="I57">
        <v>32</v>
      </c>
      <c r="J57">
        <v>10</v>
      </c>
      <c r="K57" s="2">
        <v>91</v>
      </c>
      <c r="L57">
        <v>87</v>
      </c>
      <c r="M57">
        <v>26</v>
      </c>
      <c r="N57">
        <v>263</v>
      </c>
      <c r="O57">
        <v>22</v>
      </c>
      <c r="P57" s="4">
        <f>+output[[#This Row],[OcupTotal]]/264</f>
        <v>0.99621212121212122</v>
      </c>
      <c r="Q57" s="3">
        <f>+output[[#This Row],[Ocupación Externo]]/100</f>
        <v>0.99</v>
      </c>
      <c r="R57" s="3">
        <f>+output[[#This Row],[Ocupación Central]]/73</f>
        <v>1</v>
      </c>
      <c r="S57" s="3">
        <f>+output[[#This Row],[Ocupación Polideportivo]]/91</f>
        <v>1</v>
      </c>
      <c r="T57" s="5">
        <f>+output[[#This Row],[Rechazados acumulados]]-O56</f>
        <v>3</v>
      </c>
    </row>
    <row r="58" spans="1:20" x14ac:dyDescent="0.25">
      <c r="A58" t="s">
        <v>26</v>
      </c>
      <c r="B58" t="s">
        <v>16</v>
      </c>
      <c r="C58">
        <v>16</v>
      </c>
      <c r="D58">
        <v>15</v>
      </c>
      <c r="E58">
        <v>100</v>
      </c>
      <c r="F58">
        <v>6</v>
      </c>
      <c r="G58">
        <v>6</v>
      </c>
      <c r="H58">
        <v>73</v>
      </c>
      <c r="I58">
        <v>9</v>
      </c>
      <c r="J58">
        <v>9</v>
      </c>
      <c r="K58" s="2">
        <v>91</v>
      </c>
      <c r="L58">
        <v>31</v>
      </c>
      <c r="M58">
        <v>30</v>
      </c>
      <c r="N58">
        <v>264</v>
      </c>
      <c r="O58">
        <v>22</v>
      </c>
      <c r="P58" s="4">
        <f>+output[[#This Row],[OcupTotal]]/264</f>
        <v>1</v>
      </c>
      <c r="Q58" s="3">
        <f>+output[[#This Row],[Ocupación Externo]]/100</f>
        <v>1</v>
      </c>
      <c r="R58" s="3">
        <f>+output[[#This Row],[Ocupación Central]]/73</f>
        <v>1</v>
      </c>
      <c r="S58" s="3">
        <f>+output[[#This Row],[Ocupación Polideportivo]]/91</f>
        <v>1</v>
      </c>
      <c r="T58" s="5">
        <f>+output[[#This Row],[Rechazados acumulados]]-O57</f>
        <v>0</v>
      </c>
    </row>
    <row r="59" spans="1:20" x14ac:dyDescent="0.25">
      <c r="A59" t="s">
        <v>26</v>
      </c>
      <c r="B59" t="s">
        <v>17</v>
      </c>
      <c r="C59">
        <v>9</v>
      </c>
      <c r="D59">
        <v>9</v>
      </c>
      <c r="E59">
        <v>100</v>
      </c>
      <c r="F59">
        <v>16</v>
      </c>
      <c r="G59">
        <v>16</v>
      </c>
      <c r="H59">
        <v>73</v>
      </c>
      <c r="I59">
        <v>13</v>
      </c>
      <c r="J59">
        <v>13</v>
      </c>
      <c r="K59" s="2">
        <v>91</v>
      </c>
      <c r="L59">
        <v>38</v>
      </c>
      <c r="M59">
        <v>38</v>
      </c>
      <c r="N59">
        <v>264</v>
      </c>
      <c r="O59">
        <v>22</v>
      </c>
      <c r="P59" s="4">
        <f>+output[[#This Row],[OcupTotal]]/264</f>
        <v>1</v>
      </c>
      <c r="Q59" s="3">
        <f>+output[[#This Row],[Ocupación Externo]]/100</f>
        <v>1</v>
      </c>
      <c r="R59" s="3">
        <f>+output[[#This Row],[Ocupación Central]]/73</f>
        <v>1</v>
      </c>
      <c r="S59" s="3">
        <f>+output[[#This Row],[Ocupación Polideportivo]]/91</f>
        <v>1</v>
      </c>
      <c r="T59" s="5">
        <f>+output[[#This Row],[Rechazados acumulados]]-O58</f>
        <v>0</v>
      </c>
    </row>
    <row r="60" spans="1:20" x14ac:dyDescent="0.25">
      <c r="A60" t="s">
        <v>26</v>
      </c>
      <c r="B60" t="s">
        <v>18</v>
      </c>
      <c r="C60">
        <v>19</v>
      </c>
      <c r="D60">
        <v>19</v>
      </c>
      <c r="E60">
        <v>100</v>
      </c>
      <c r="F60">
        <v>11</v>
      </c>
      <c r="G60">
        <v>11</v>
      </c>
      <c r="H60">
        <v>73</v>
      </c>
      <c r="I60">
        <v>9</v>
      </c>
      <c r="J60">
        <v>22</v>
      </c>
      <c r="K60" s="2">
        <v>79</v>
      </c>
      <c r="L60">
        <v>39</v>
      </c>
      <c r="M60">
        <v>52</v>
      </c>
      <c r="N60">
        <v>252</v>
      </c>
      <c r="O60">
        <v>22</v>
      </c>
      <c r="P60" s="4">
        <f>+output[[#This Row],[OcupTotal]]/264</f>
        <v>0.95454545454545459</v>
      </c>
      <c r="Q60" s="3">
        <f>+output[[#This Row],[Ocupación Externo]]/100</f>
        <v>1</v>
      </c>
      <c r="R60" s="3">
        <f>+output[[#This Row],[Ocupación Central]]/73</f>
        <v>1</v>
      </c>
      <c r="S60" s="3">
        <f>+output[[#This Row],[Ocupación Polideportivo]]/91</f>
        <v>0.86813186813186816</v>
      </c>
      <c r="T60" s="5">
        <f>+output[[#This Row],[Rechazados acumulados]]-O59</f>
        <v>0</v>
      </c>
    </row>
    <row r="61" spans="1:20" hidden="1" x14ac:dyDescent="0.25">
      <c r="A61" t="s">
        <v>26</v>
      </c>
      <c r="B61" t="s">
        <v>19</v>
      </c>
      <c r="C61">
        <v>3</v>
      </c>
      <c r="D61">
        <v>28</v>
      </c>
      <c r="E61">
        <v>75</v>
      </c>
      <c r="F61">
        <v>4</v>
      </c>
      <c r="G61">
        <v>14</v>
      </c>
      <c r="H61">
        <v>63</v>
      </c>
      <c r="I61">
        <v>0</v>
      </c>
      <c r="J61">
        <v>24</v>
      </c>
      <c r="K61">
        <v>55</v>
      </c>
      <c r="L61">
        <v>7</v>
      </c>
      <c r="M61">
        <v>66</v>
      </c>
      <c r="N61">
        <v>193</v>
      </c>
      <c r="O61">
        <v>22</v>
      </c>
      <c r="P61">
        <f>+output[[#This Row],[OcupTotal]]/264</f>
        <v>0.73106060606060608</v>
      </c>
      <c r="Q61">
        <f>+output[[#This Row],[Ocupación Externo]]/100</f>
        <v>0.75</v>
      </c>
      <c r="R61">
        <f>+output[[#This Row],[Ocupación Central]]/73</f>
        <v>0.86301369863013699</v>
      </c>
      <c r="S61" s="5">
        <f>+output[[#This Row],[Ocupación Polideportivo]]/91</f>
        <v>0.60439560439560436</v>
      </c>
      <c r="T61" s="5">
        <f>+output[[#This Row],[Rechazados acumulados]]-O60</f>
        <v>0</v>
      </c>
    </row>
    <row r="62" spans="1:20" hidden="1" x14ac:dyDescent="0.25">
      <c r="A62" t="s">
        <v>26</v>
      </c>
      <c r="B62" t="s">
        <v>20</v>
      </c>
      <c r="C62">
        <v>0</v>
      </c>
      <c r="D62">
        <v>23</v>
      </c>
      <c r="E62">
        <v>52</v>
      </c>
      <c r="F62">
        <v>0</v>
      </c>
      <c r="G62">
        <v>21</v>
      </c>
      <c r="H62">
        <v>43</v>
      </c>
      <c r="I62">
        <v>0</v>
      </c>
      <c r="J62">
        <v>12</v>
      </c>
      <c r="K62">
        <v>42</v>
      </c>
      <c r="L62">
        <v>0</v>
      </c>
      <c r="M62">
        <v>56</v>
      </c>
      <c r="N62">
        <v>137</v>
      </c>
      <c r="O62">
        <v>22</v>
      </c>
      <c r="P62">
        <f>+output[[#This Row],[OcupTotal]]/264</f>
        <v>0.51893939393939392</v>
      </c>
      <c r="Q62">
        <f>+output[[#This Row],[Ocupación Externo]]/100</f>
        <v>0.52</v>
      </c>
      <c r="R62">
        <f>+output[[#This Row],[Ocupación Central]]/73</f>
        <v>0.58904109589041098</v>
      </c>
      <c r="S62" s="5">
        <f>+output[[#This Row],[Ocupación Polideportivo]]/91</f>
        <v>0.46153846153846156</v>
      </c>
      <c r="T62" s="5">
        <f>+output[[#This Row],[Rechazados acumulados]]-O61</f>
        <v>0</v>
      </c>
    </row>
    <row r="63" spans="1:20" hidden="1" x14ac:dyDescent="0.25">
      <c r="A63" t="s">
        <v>29</v>
      </c>
      <c r="B63" t="s">
        <v>22</v>
      </c>
      <c r="C63">
        <v>0</v>
      </c>
      <c r="D63">
        <v>17</v>
      </c>
      <c r="E63">
        <v>35</v>
      </c>
      <c r="F63">
        <v>0</v>
      </c>
      <c r="G63">
        <v>12</v>
      </c>
      <c r="H63">
        <v>30</v>
      </c>
      <c r="I63">
        <v>0</v>
      </c>
      <c r="J63">
        <v>16</v>
      </c>
      <c r="K63">
        <v>27</v>
      </c>
      <c r="L63">
        <v>0</v>
      </c>
      <c r="M63">
        <v>45</v>
      </c>
      <c r="N63">
        <v>92</v>
      </c>
      <c r="O63">
        <v>22</v>
      </c>
      <c r="P63">
        <f>+output[[#This Row],[OcupTotal]]/264</f>
        <v>0.34848484848484851</v>
      </c>
      <c r="Q63">
        <f>+output[[#This Row],[Ocupación Externo]]/100</f>
        <v>0.35</v>
      </c>
      <c r="R63">
        <f>+output[[#This Row],[Ocupación Central]]/73</f>
        <v>0.41095890410958902</v>
      </c>
      <c r="S63" s="5">
        <f>+output[[#This Row],[Ocupación Polideportivo]]/91</f>
        <v>0.2967032967032967</v>
      </c>
      <c r="T63" s="5">
        <f>+output[[#This Row],[Rechazados acumulados]]-O62</f>
        <v>0</v>
      </c>
    </row>
    <row r="64" spans="1:20" hidden="1" x14ac:dyDescent="0.25">
      <c r="A64" t="s">
        <v>29</v>
      </c>
      <c r="B64" t="s">
        <v>23</v>
      </c>
      <c r="C64">
        <v>0</v>
      </c>
      <c r="D64">
        <v>22</v>
      </c>
      <c r="E64">
        <v>13</v>
      </c>
      <c r="F64">
        <v>0</v>
      </c>
      <c r="G64">
        <v>12</v>
      </c>
      <c r="H64">
        <v>18</v>
      </c>
      <c r="I64">
        <v>0</v>
      </c>
      <c r="J64">
        <v>19</v>
      </c>
      <c r="K64">
        <v>8</v>
      </c>
      <c r="L64">
        <v>0</v>
      </c>
      <c r="M64">
        <v>53</v>
      </c>
      <c r="N64">
        <v>39</v>
      </c>
      <c r="O64">
        <v>22</v>
      </c>
      <c r="P64">
        <f>+output[[#This Row],[OcupTotal]]/264</f>
        <v>0.14772727272727273</v>
      </c>
      <c r="Q64">
        <f>+output[[#This Row],[Ocupación Externo]]/100</f>
        <v>0.13</v>
      </c>
      <c r="R64">
        <f>+output[[#This Row],[Ocupación Central]]/73</f>
        <v>0.24657534246575341</v>
      </c>
      <c r="S64" s="5">
        <f>+output[[#This Row],[Ocupación Polideportivo]]/91</f>
        <v>8.7912087912087919E-2</v>
      </c>
      <c r="T64" s="5">
        <f>+output[[#This Row],[Rechazados acumulados]]-O63</f>
        <v>0</v>
      </c>
    </row>
    <row r="65" spans="1:20" hidden="1" x14ac:dyDescent="0.25">
      <c r="A65" t="s">
        <v>29</v>
      </c>
      <c r="B65" t="s">
        <v>24</v>
      </c>
      <c r="C65">
        <v>0</v>
      </c>
      <c r="D65">
        <v>7</v>
      </c>
      <c r="E65">
        <v>6</v>
      </c>
      <c r="F65">
        <v>0</v>
      </c>
      <c r="G65">
        <v>13</v>
      </c>
      <c r="H65">
        <v>5</v>
      </c>
      <c r="I65">
        <v>0</v>
      </c>
      <c r="J65">
        <v>5</v>
      </c>
      <c r="K65">
        <v>3</v>
      </c>
      <c r="L65">
        <v>0</v>
      </c>
      <c r="M65">
        <v>25</v>
      </c>
      <c r="N65">
        <v>14</v>
      </c>
      <c r="O65">
        <v>22</v>
      </c>
      <c r="P65">
        <f>+output[[#This Row],[OcupTotal]]/264</f>
        <v>5.3030303030303032E-2</v>
      </c>
      <c r="Q65">
        <f>+output[[#This Row],[Ocupación Externo]]/100</f>
        <v>0.06</v>
      </c>
      <c r="R65">
        <f>+output[[#This Row],[Ocupación Central]]/73</f>
        <v>6.8493150684931503E-2</v>
      </c>
      <c r="S65" s="5">
        <f>+output[[#This Row],[Ocupación Polideportivo]]/91</f>
        <v>3.2967032967032968E-2</v>
      </c>
      <c r="T65" s="5">
        <f>+output[[#This Row],[Rechazados acumulados]]-O64</f>
        <v>0</v>
      </c>
    </row>
    <row r="66" spans="1:20" hidden="1" x14ac:dyDescent="0.25">
      <c r="A66" t="s">
        <v>29</v>
      </c>
      <c r="B66" t="s">
        <v>25</v>
      </c>
      <c r="C66">
        <v>0</v>
      </c>
      <c r="D66">
        <v>4</v>
      </c>
      <c r="E66">
        <v>3</v>
      </c>
      <c r="F66">
        <v>0</v>
      </c>
      <c r="G66">
        <v>3</v>
      </c>
      <c r="H66">
        <v>2</v>
      </c>
      <c r="I66">
        <v>0</v>
      </c>
      <c r="J66">
        <v>2</v>
      </c>
      <c r="K66">
        <v>0</v>
      </c>
      <c r="L66">
        <v>0</v>
      </c>
      <c r="M66">
        <v>9</v>
      </c>
      <c r="N66">
        <v>5</v>
      </c>
      <c r="O66">
        <v>22</v>
      </c>
      <c r="P66">
        <f>+output[[#This Row],[OcupTotal]]/264</f>
        <v>1.893939393939394E-2</v>
      </c>
      <c r="Q66">
        <f>+output[[#This Row],[Ocupación Externo]]/100</f>
        <v>0.03</v>
      </c>
      <c r="R66">
        <f>+output[[#This Row],[Ocupación Central]]/73</f>
        <v>2.7397260273972601E-2</v>
      </c>
      <c r="S66" s="5">
        <f>+output[[#This Row],[Ocupación Polideportivo]]/91</f>
        <v>0</v>
      </c>
      <c r="T66" s="5">
        <f>+output[[#This Row],[Rechazados acumulados]]-O65</f>
        <v>0</v>
      </c>
    </row>
    <row r="67" spans="1:20" hidden="1" x14ac:dyDescent="0.25">
      <c r="A67" t="s">
        <v>29</v>
      </c>
      <c r="B67" t="s">
        <v>27</v>
      </c>
      <c r="C67">
        <v>0</v>
      </c>
      <c r="D67">
        <v>2</v>
      </c>
      <c r="E67">
        <v>1</v>
      </c>
      <c r="F67">
        <v>0</v>
      </c>
      <c r="G67">
        <v>2</v>
      </c>
      <c r="H67">
        <v>0</v>
      </c>
      <c r="I67">
        <v>0</v>
      </c>
      <c r="J67">
        <v>0</v>
      </c>
      <c r="K67">
        <v>0</v>
      </c>
      <c r="L67">
        <v>0</v>
      </c>
      <c r="M67">
        <v>4</v>
      </c>
      <c r="N67">
        <v>1</v>
      </c>
      <c r="O67">
        <v>22</v>
      </c>
      <c r="P67">
        <f>+output[[#This Row],[OcupTotal]]/264</f>
        <v>3.787878787878788E-3</v>
      </c>
      <c r="Q67">
        <f>+output[[#This Row],[Ocupación Externo]]/100</f>
        <v>0.01</v>
      </c>
      <c r="R67">
        <f>+output[[#This Row],[Ocupación Central]]/73</f>
        <v>0</v>
      </c>
      <c r="S67" s="5">
        <f>+output[[#This Row],[Ocupación Polideportivo]]/91</f>
        <v>0</v>
      </c>
      <c r="T67" s="5">
        <f>+output[[#This Row],[Rechazados acumulados]]-O66</f>
        <v>0</v>
      </c>
    </row>
    <row r="68" spans="1:20" x14ac:dyDescent="0.25">
      <c r="A68" t="s">
        <v>29</v>
      </c>
      <c r="B68" t="s">
        <v>4</v>
      </c>
      <c r="C68">
        <v>39</v>
      </c>
      <c r="D68">
        <v>0</v>
      </c>
      <c r="E68">
        <v>39</v>
      </c>
      <c r="F68">
        <v>23</v>
      </c>
      <c r="G68">
        <v>0</v>
      </c>
      <c r="H68">
        <v>23</v>
      </c>
      <c r="I68">
        <v>24</v>
      </c>
      <c r="J68">
        <v>0</v>
      </c>
      <c r="K68" s="2">
        <v>24</v>
      </c>
      <c r="L68">
        <v>86</v>
      </c>
      <c r="M68">
        <v>0</v>
      </c>
      <c r="N68">
        <v>86</v>
      </c>
      <c r="O68">
        <v>24</v>
      </c>
      <c r="P68" s="4">
        <f>+output[[#This Row],[OcupTotal]]/264</f>
        <v>0.32575757575757575</v>
      </c>
      <c r="Q68" s="3">
        <f>+output[[#This Row],[Ocupación Externo]]/100</f>
        <v>0.39</v>
      </c>
      <c r="R68" s="3">
        <f>+output[[#This Row],[Ocupación Central]]/73</f>
        <v>0.31506849315068491</v>
      </c>
      <c r="S68" s="3">
        <f>+output[[#This Row],[Ocupación Polideportivo]]/91</f>
        <v>0.26373626373626374</v>
      </c>
      <c r="T68" s="5">
        <f>+output[[#This Row],[Rechazados acumulados]]-O67</f>
        <v>2</v>
      </c>
    </row>
    <row r="69" spans="1:20" x14ac:dyDescent="0.25">
      <c r="A69" t="s">
        <v>29</v>
      </c>
      <c r="B69" t="s">
        <v>5</v>
      </c>
      <c r="C69">
        <v>21</v>
      </c>
      <c r="D69">
        <v>0</v>
      </c>
      <c r="E69">
        <v>60</v>
      </c>
      <c r="F69">
        <v>15</v>
      </c>
      <c r="G69">
        <v>0</v>
      </c>
      <c r="H69">
        <v>38</v>
      </c>
      <c r="I69">
        <v>21</v>
      </c>
      <c r="J69">
        <v>0</v>
      </c>
      <c r="K69" s="2">
        <v>45</v>
      </c>
      <c r="L69">
        <v>57</v>
      </c>
      <c r="M69">
        <v>0</v>
      </c>
      <c r="N69">
        <v>143</v>
      </c>
      <c r="O69">
        <v>25</v>
      </c>
      <c r="P69" s="4">
        <f>+output[[#This Row],[OcupTotal]]/264</f>
        <v>0.54166666666666663</v>
      </c>
      <c r="Q69" s="3">
        <f>+output[[#This Row],[Ocupación Externo]]/100</f>
        <v>0.6</v>
      </c>
      <c r="R69" s="3">
        <f>+output[[#This Row],[Ocupación Central]]/73</f>
        <v>0.52054794520547942</v>
      </c>
      <c r="S69" s="3">
        <f>+output[[#This Row],[Ocupación Polideportivo]]/91</f>
        <v>0.49450549450549453</v>
      </c>
      <c r="T69" s="5">
        <f>+output[[#This Row],[Rechazados acumulados]]-O68</f>
        <v>1</v>
      </c>
    </row>
    <row r="70" spans="1:20" x14ac:dyDescent="0.25">
      <c r="A70" t="s">
        <v>29</v>
      </c>
      <c r="B70" t="s">
        <v>6</v>
      </c>
      <c r="C70">
        <v>16</v>
      </c>
      <c r="D70">
        <v>0</v>
      </c>
      <c r="E70">
        <v>76</v>
      </c>
      <c r="F70">
        <v>6</v>
      </c>
      <c r="G70">
        <v>1</v>
      </c>
      <c r="H70">
        <v>44</v>
      </c>
      <c r="I70">
        <v>18</v>
      </c>
      <c r="J70">
        <v>0</v>
      </c>
      <c r="K70" s="2">
        <v>63</v>
      </c>
      <c r="L70">
        <v>40</v>
      </c>
      <c r="M70">
        <v>1</v>
      </c>
      <c r="N70">
        <v>183</v>
      </c>
      <c r="O70">
        <v>26</v>
      </c>
      <c r="P70" s="4">
        <f>+output[[#This Row],[OcupTotal]]/264</f>
        <v>0.69318181818181823</v>
      </c>
      <c r="Q70" s="3">
        <f>+output[[#This Row],[Ocupación Externo]]/100</f>
        <v>0.76</v>
      </c>
      <c r="R70" s="3">
        <f>+output[[#This Row],[Ocupación Central]]/73</f>
        <v>0.60273972602739723</v>
      </c>
      <c r="S70" s="3">
        <f>+output[[#This Row],[Ocupación Polideportivo]]/91</f>
        <v>0.69230769230769229</v>
      </c>
      <c r="T70" s="5">
        <f>+output[[#This Row],[Rechazados acumulados]]-O69</f>
        <v>1</v>
      </c>
    </row>
    <row r="71" spans="1:20" x14ac:dyDescent="0.25">
      <c r="A71" t="s">
        <v>29</v>
      </c>
      <c r="B71" t="s">
        <v>7</v>
      </c>
      <c r="C71">
        <v>15</v>
      </c>
      <c r="D71">
        <v>8</v>
      </c>
      <c r="E71">
        <v>83</v>
      </c>
      <c r="F71">
        <v>12</v>
      </c>
      <c r="G71">
        <v>2</v>
      </c>
      <c r="H71">
        <v>53</v>
      </c>
      <c r="I71">
        <v>16</v>
      </c>
      <c r="J71">
        <v>8</v>
      </c>
      <c r="K71" s="2">
        <v>72</v>
      </c>
      <c r="L71">
        <v>43</v>
      </c>
      <c r="M71">
        <v>18</v>
      </c>
      <c r="N71">
        <v>208</v>
      </c>
      <c r="O71">
        <v>26</v>
      </c>
      <c r="P71" s="4">
        <f>+output[[#This Row],[OcupTotal]]/264</f>
        <v>0.78787878787878785</v>
      </c>
      <c r="Q71" s="3">
        <f>+output[[#This Row],[Ocupación Externo]]/100</f>
        <v>0.83</v>
      </c>
      <c r="R71" s="3">
        <f>+output[[#This Row],[Ocupación Central]]/73</f>
        <v>0.72602739726027399</v>
      </c>
      <c r="S71" s="3">
        <f>+output[[#This Row],[Ocupación Polideportivo]]/91</f>
        <v>0.79120879120879117</v>
      </c>
      <c r="T71" s="5">
        <f>+output[[#This Row],[Rechazados acumulados]]-O70</f>
        <v>0</v>
      </c>
    </row>
    <row r="72" spans="1:20" x14ac:dyDescent="0.25">
      <c r="A72" t="s">
        <v>29</v>
      </c>
      <c r="B72" t="s">
        <v>8</v>
      </c>
      <c r="C72">
        <v>9</v>
      </c>
      <c r="D72">
        <v>11</v>
      </c>
      <c r="E72">
        <v>81</v>
      </c>
      <c r="F72">
        <v>13</v>
      </c>
      <c r="G72">
        <v>10</v>
      </c>
      <c r="H72">
        <v>56</v>
      </c>
      <c r="I72">
        <v>12</v>
      </c>
      <c r="J72">
        <v>8</v>
      </c>
      <c r="K72" s="2">
        <v>76</v>
      </c>
      <c r="L72">
        <v>34</v>
      </c>
      <c r="M72">
        <v>29</v>
      </c>
      <c r="N72">
        <v>213</v>
      </c>
      <c r="O72">
        <v>28</v>
      </c>
      <c r="P72" s="4">
        <f>+output[[#This Row],[OcupTotal]]/264</f>
        <v>0.80681818181818177</v>
      </c>
      <c r="Q72" s="3">
        <f>+output[[#This Row],[Ocupación Externo]]/100</f>
        <v>0.81</v>
      </c>
      <c r="R72" s="3">
        <f>+output[[#This Row],[Ocupación Central]]/73</f>
        <v>0.76712328767123283</v>
      </c>
      <c r="S72" s="3">
        <f>+output[[#This Row],[Ocupación Polideportivo]]/91</f>
        <v>0.8351648351648352</v>
      </c>
      <c r="T72" s="5">
        <f>+output[[#This Row],[Rechazados acumulados]]-O71</f>
        <v>2</v>
      </c>
    </row>
    <row r="73" spans="1:20" x14ac:dyDescent="0.25">
      <c r="A73" t="s">
        <v>29</v>
      </c>
      <c r="B73" t="s">
        <v>9</v>
      </c>
      <c r="C73">
        <v>6</v>
      </c>
      <c r="D73">
        <v>17</v>
      </c>
      <c r="E73">
        <v>70</v>
      </c>
      <c r="F73">
        <v>5</v>
      </c>
      <c r="G73">
        <v>8</v>
      </c>
      <c r="H73">
        <v>54</v>
      </c>
      <c r="I73">
        <v>6</v>
      </c>
      <c r="J73">
        <v>18</v>
      </c>
      <c r="K73" s="2">
        <v>63</v>
      </c>
      <c r="L73">
        <v>17</v>
      </c>
      <c r="M73">
        <v>43</v>
      </c>
      <c r="N73">
        <v>187</v>
      </c>
      <c r="O73">
        <v>28</v>
      </c>
      <c r="P73" s="4">
        <f>+output[[#This Row],[OcupTotal]]/264</f>
        <v>0.70833333333333337</v>
      </c>
      <c r="Q73" s="3">
        <f>+output[[#This Row],[Ocupación Externo]]/100</f>
        <v>0.7</v>
      </c>
      <c r="R73" s="3">
        <f>+output[[#This Row],[Ocupación Central]]/73</f>
        <v>0.73972602739726023</v>
      </c>
      <c r="S73" s="3">
        <f>+output[[#This Row],[Ocupación Polideportivo]]/91</f>
        <v>0.69230769230769229</v>
      </c>
      <c r="T73" s="5">
        <f>+output[[#This Row],[Rechazados acumulados]]-O72</f>
        <v>0</v>
      </c>
    </row>
    <row r="74" spans="1:20" x14ac:dyDescent="0.25">
      <c r="A74" t="s">
        <v>29</v>
      </c>
      <c r="B74" t="s">
        <v>10</v>
      </c>
      <c r="C74">
        <v>7</v>
      </c>
      <c r="D74">
        <v>13</v>
      </c>
      <c r="E74">
        <v>64</v>
      </c>
      <c r="F74">
        <v>7</v>
      </c>
      <c r="G74">
        <v>18</v>
      </c>
      <c r="H74">
        <v>42</v>
      </c>
      <c r="I74">
        <v>11</v>
      </c>
      <c r="J74">
        <v>15</v>
      </c>
      <c r="K74" s="2">
        <v>59</v>
      </c>
      <c r="L74">
        <v>25</v>
      </c>
      <c r="M74">
        <v>46</v>
      </c>
      <c r="N74">
        <v>165</v>
      </c>
      <c r="O74">
        <v>28</v>
      </c>
      <c r="P74" s="4">
        <f>+output[[#This Row],[OcupTotal]]/264</f>
        <v>0.625</v>
      </c>
      <c r="Q74" s="3">
        <f>+output[[#This Row],[Ocupación Externo]]/100</f>
        <v>0.64</v>
      </c>
      <c r="R74" s="3">
        <f>+output[[#This Row],[Ocupación Central]]/73</f>
        <v>0.57534246575342463</v>
      </c>
      <c r="S74" s="3">
        <f>+output[[#This Row],[Ocupación Polideportivo]]/91</f>
        <v>0.64835164835164838</v>
      </c>
      <c r="T74" s="5">
        <f>+output[[#This Row],[Rechazados acumulados]]-O73</f>
        <v>0</v>
      </c>
    </row>
    <row r="75" spans="1:20" x14ac:dyDescent="0.25">
      <c r="A75" t="s">
        <v>29</v>
      </c>
      <c r="B75" t="s">
        <v>11</v>
      </c>
      <c r="C75">
        <v>15</v>
      </c>
      <c r="D75">
        <v>21</v>
      </c>
      <c r="E75">
        <v>59</v>
      </c>
      <c r="F75">
        <v>11</v>
      </c>
      <c r="G75">
        <v>6</v>
      </c>
      <c r="H75">
        <v>47</v>
      </c>
      <c r="I75">
        <v>14</v>
      </c>
      <c r="J75">
        <v>17</v>
      </c>
      <c r="K75" s="2">
        <v>56</v>
      </c>
      <c r="L75">
        <v>40</v>
      </c>
      <c r="M75">
        <v>44</v>
      </c>
      <c r="N75">
        <v>162</v>
      </c>
      <c r="O75">
        <v>28</v>
      </c>
      <c r="P75" s="4">
        <f>+output[[#This Row],[OcupTotal]]/264</f>
        <v>0.61363636363636365</v>
      </c>
      <c r="Q75" s="3">
        <f>+output[[#This Row],[Ocupación Externo]]/100</f>
        <v>0.59</v>
      </c>
      <c r="R75" s="3">
        <f>+output[[#This Row],[Ocupación Central]]/73</f>
        <v>0.64383561643835618</v>
      </c>
      <c r="S75" s="3">
        <f>+output[[#This Row],[Ocupación Polideportivo]]/91</f>
        <v>0.61538461538461542</v>
      </c>
      <c r="T75" s="5">
        <f>+output[[#This Row],[Rechazados acumulados]]-O74</f>
        <v>0</v>
      </c>
    </row>
    <row r="76" spans="1:20" x14ac:dyDescent="0.25">
      <c r="A76" t="s">
        <v>29</v>
      </c>
      <c r="B76" t="s">
        <v>12</v>
      </c>
      <c r="C76">
        <v>9</v>
      </c>
      <c r="D76">
        <v>13</v>
      </c>
      <c r="E76">
        <v>54</v>
      </c>
      <c r="F76">
        <v>14</v>
      </c>
      <c r="G76">
        <v>19</v>
      </c>
      <c r="H76">
        <v>42</v>
      </c>
      <c r="I76">
        <v>16</v>
      </c>
      <c r="J76">
        <v>11</v>
      </c>
      <c r="K76" s="2">
        <v>61</v>
      </c>
      <c r="L76">
        <v>39</v>
      </c>
      <c r="M76">
        <v>43</v>
      </c>
      <c r="N76">
        <v>157</v>
      </c>
      <c r="O76">
        <v>28</v>
      </c>
      <c r="P76" s="4">
        <f>+output[[#This Row],[OcupTotal]]/264</f>
        <v>0.59469696969696972</v>
      </c>
      <c r="Q76" s="3">
        <f>+output[[#This Row],[Ocupación Externo]]/100</f>
        <v>0.54</v>
      </c>
      <c r="R76" s="3">
        <f>+output[[#This Row],[Ocupación Central]]/73</f>
        <v>0.57534246575342463</v>
      </c>
      <c r="S76" s="3">
        <f>+output[[#This Row],[Ocupación Polideportivo]]/91</f>
        <v>0.67032967032967028</v>
      </c>
      <c r="T76" s="5">
        <f>+output[[#This Row],[Rechazados acumulados]]-O75</f>
        <v>0</v>
      </c>
    </row>
    <row r="77" spans="1:20" x14ac:dyDescent="0.25">
      <c r="A77" t="s">
        <v>29</v>
      </c>
      <c r="B77" t="s">
        <v>13</v>
      </c>
      <c r="C77">
        <v>16</v>
      </c>
      <c r="D77">
        <v>15</v>
      </c>
      <c r="E77">
        <v>55</v>
      </c>
      <c r="F77">
        <v>17</v>
      </c>
      <c r="G77">
        <v>4</v>
      </c>
      <c r="H77">
        <v>55</v>
      </c>
      <c r="I77">
        <v>23</v>
      </c>
      <c r="J77">
        <v>14</v>
      </c>
      <c r="K77" s="2">
        <v>70</v>
      </c>
      <c r="L77">
        <v>56</v>
      </c>
      <c r="M77">
        <v>33</v>
      </c>
      <c r="N77">
        <v>180</v>
      </c>
      <c r="O77">
        <v>31</v>
      </c>
      <c r="P77" s="4">
        <f>+output[[#This Row],[OcupTotal]]/264</f>
        <v>0.68181818181818177</v>
      </c>
      <c r="Q77" s="3">
        <f>+output[[#This Row],[Ocupación Externo]]/100</f>
        <v>0.55000000000000004</v>
      </c>
      <c r="R77" s="3">
        <f>+output[[#This Row],[Ocupación Central]]/73</f>
        <v>0.75342465753424659</v>
      </c>
      <c r="S77" s="3">
        <f>+output[[#This Row],[Ocupación Polideportivo]]/91</f>
        <v>0.76923076923076927</v>
      </c>
      <c r="T77" s="5">
        <f>+output[[#This Row],[Rechazados acumulados]]-O76</f>
        <v>3</v>
      </c>
    </row>
    <row r="78" spans="1:20" x14ac:dyDescent="0.25">
      <c r="A78" t="s">
        <v>29</v>
      </c>
      <c r="B78" t="s">
        <v>14</v>
      </c>
      <c r="C78">
        <v>29</v>
      </c>
      <c r="D78">
        <v>10</v>
      </c>
      <c r="E78">
        <v>74</v>
      </c>
      <c r="F78">
        <v>19</v>
      </c>
      <c r="G78">
        <v>9</v>
      </c>
      <c r="H78">
        <v>65</v>
      </c>
      <c r="I78">
        <v>25</v>
      </c>
      <c r="J78">
        <v>10</v>
      </c>
      <c r="K78" s="2">
        <v>85</v>
      </c>
      <c r="L78">
        <v>73</v>
      </c>
      <c r="M78">
        <v>29</v>
      </c>
      <c r="N78">
        <v>224</v>
      </c>
      <c r="O78">
        <v>32</v>
      </c>
      <c r="P78" s="4">
        <f>+output[[#This Row],[OcupTotal]]/264</f>
        <v>0.84848484848484851</v>
      </c>
      <c r="Q78" s="3">
        <f>+output[[#This Row],[Ocupación Externo]]/100</f>
        <v>0.74</v>
      </c>
      <c r="R78" s="3">
        <f>+output[[#This Row],[Ocupación Central]]/73</f>
        <v>0.8904109589041096</v>
      </c>
      <c r="S78" s="3">
        <f>+output[[#This Row],[Ocupación Polideportivo]]/91</f>
        <v>0.93406593406593408</v>
      </c>
      <c r="T78" s="5">
        <f>+output[[#This Row],[Rechazados acumulados]]-O77</f>
        <v>1</v>
      </c>
    </row>
    <row r="79" spans="1:20" x14ac:dyDescent="0.25">
      <c r="A79" t="s">
        <v>29</v>
      </c>
      <c r="B79" t="s">
        <v>15</v>
      </c>
      <c r="C79">
        <v>23</v>
      </c>
      <c r="D79">
        <v>10</v>
      </c>
      <c r="E79">
        <v>87</v>
      </c>
      <c r="F79">
        <v>17</v>
      </c>
      <c r="G79">
        <v>9</v>
      </c>
      <c r="H79">
        <v>73</v>
      </c>
      <c r="I79">
        <v>14</v>
      </c>
      <c r="J79">
        <v>8</v>
      </c>
      <c r="K79" s="2">
        <v>91</v>
      </c>
      <c r="L79">
        <v>54</v>
      </c>
      <c r="M79">
        <v>27</v>
      </c>
      <c r="N79">
        <v>251</v>
      </c>
      <c r="O79">
        <v>33</v>
      </c>
      <c r="P79" s="4">
        <f>+output[[#This Row],[OcupTotal]]/264</f>
        <v>0.9507575757575758</v>
      </c>
      <c r="Q79" s="3">
        <f>+output[[#This Row],[Ocupación Externo]]/100</f>
        <v>0.87</v>
      </c>
      <c r="R79" s="3">
        <f>+output[[#This Row],[Ocupación Central]]/73</f>
        <v>1</v>
      </c>
      <c r="S79" s="3">
        <f>+output[[#This Row],[Ocupación Polideportivo]]/91</f>
        <v>1</v>
      </c>
      <c r="T79" s="5">
        <f>+output[[#This Row],[Rechazados acumulados]]-O78</f>
        <v>1</v>
      </c>
    </row>
    <row r="80" spans="1:20" x14ac:dyDescent="0.25">
      <c r="A80" t="s">
        <v>29</v>
      </c>
      <c r="B80" t="s">
        <v>16</v>
      </c>
      <c r="C80">
        <v>12</v>
      </c>
      <c r="D80">
        <v>6</v>
      </c>
      <c r="E80">
        <v>93</v>
      </c>
      <c r="F80">
        <v>8</v>
      </c>
      <c r="G80">
        <v>8</v>
      </c>
      <c r="H80">
        <v>73</v>
      </c>
      <c r="I80">
        <v>18</v>
      </c>
      <c r="J80">
        <v>18</v>
      </c>
      <c r="K80" s="2">
        <v>91</v>
      </c>
      <c r="L80">
        <v>38</v>
      </c>
      <c r="M80">
        <v>32</v>
      </c>
      <c r="N80">
        <v>257</v>
      </c>
      <c r="O80">
        <v>34</v>
      </c>
      <c r="P80" s="4">
        <f>+output[[#This Row],[OcupTotal]]/264</f>
        <v>0.97348484848484851</v>
      </c>
      <c r="Q80" s="3">
        <f>+output[[#This Row],[Ocupación Externo]]/100</f>
        <v>0.93</v>
      </c>
      <c r="R80" s="3">
        <f>+output[[#This Row],[Ocupación Central]]/73</f>
        <v>1</v>
      </c>
      <c r="S80" s="3">
        <f>+output[[#This Row],[Ocupación Polideportivo]]/91</f>
        <v>1</v>
      </c>
      <c r="T80" s="5">
        <f>+output[[#This Row],[Rechazados acumulados]]-O79</f>
        <v>1</v>
      </c>
    </row>
    <row r="81" spans="1:20" x14ac:dyDescent="0.25">
      <c r="A81" t="s">
        <v>29</v>
      </c>
      <c r="B81" t="s">
        <v>17</v>
      </c>
      <c r="C81">
        <v>12</v>
      </c>
      <c r="D81">
        <v>15</v>
      </c>
      <c r="E81">
        <v>91</v>
      </c>
      <c r="F81">
        <v>10</v>
      </c>
      <c r="G81">
        <v>10</v>
      </c>
      <c r="H81">
        <v>73</v>
      </c>
      <c r="I81">
        <v>13</v>
      </c>
      <c r="J81">
        <v>13</v>
      </c>
      <c r="K81" s="2">
        <v>91</v>
      </c>
      <c r="L81">
        <v>35</v>
      </c>
      <c r="M81">
        <v>38</v>
      </c>
      <c r="N81">
        <v>255</v>
      </c>
      <c r="O81">
        <v>34</v>
      </c>
      <c r="P81" s="4">
        <f>+output[[#This Row],[OcupTotal]]/264</f>
        <v>0.96590909090909094</v>
      </c>
      <c r="Q81" s="3">
        <f>+output[[#This Row],[Ocupación Externo]]/100</f>
        <v>0.91</v>
      </c>
      <c r="R81" s="3">
        <f>+output[[#This Row],[Ocupación Central]]/73</f>
        <v>1</v>
      </c>
      <c r="S81" s="3">
        <f>+output[[#This Row],[Ocupación Polideportivo]]/91</f>
        <v>1</v>
      </c>
      <c r="T81" s="5">
        <f>+output[[#This Row],[Rechazados acumulados]]-O80</f>
        <v>0</v>
      </c>
    </row>
    <row r="82" spans="1:20" x14ac:dyDescent="0.25">
      <c r="A82" t="s">
        <v>29</v>
      </c>
      <c r="B82" t="s">
        <v>18</v>
      </c>
      <c r="C82">
        <v>9</v>
      </c>
      <c r="D82">
        <v>26</v>
      </c>
      <c r="E82">
        <v>73</v>
      </c>
      <c r="F82">
        <v>7</v>
      </c>
      <c r="G82">
        <v>33</v>
      </c>
      <c r="H82">
        <v>48</v>
      </c>
      <c r="I82">
        <v>6</v>
      </c>
      <c r="J82">
        <v>23</v>
      </c>
      <c r="K82" s="2">
        <v>74</v>
      </c>
      <c r="L82">
        <v>22</v>
      </c>
      <c r="M82">
        <v>82</v>
      </c>
      <c r="N82">
        <v>195</v>
      </c>
      <c r="O82">
        <v>34</v>
      </c>
      <c r="P82" s="4">
        <f>+output[[#This Row],[OcupTotal]]/264</f>
        <v>0.73863636363636365</v>
      </c>
      <c r="Q82" s="3">
        <f>+output[[#This Row],[Ocupación Externo]]/100</f>
        <v>0.73</v>
      </c>
      <c r="R82" s="3">
        <f>+output[[#This Row],[Ocupación Central]]/73</f>
        <v>0.65753424657534243</v>
      </c>
      <c r="S82" s="3">
        <f>+output[[#This Row],[Ocupación Polideportivo]]/91</f>
        <v>0.81318681318681318</v>
      </c>
      <c r="T82" s="5">
        <f>+output[[#This Row],[Rechazados acumulados]]-O81</f>
        <v>0</v>
      </c>
    </row>
    <row r="83" spans="1:20" hidden="1" x14ac:dyDescent="0.25">
      <c r="A83" t="s">
        <v>29</v>
      </c>
      <c r="B83" t="s">
        <v>19</v>
      </c>
      <c r="C83">
        <v>0</v>
      </c>
      <c r="D83">
        <v>25</v>
      </c>
      <c r="E83">
        <v>49</v>
      </c>
      <c r="F83">
        <v>0</v>
      </c>
      <c r="G83">
        <v>11</v>
      </c>
      <c r="H83">
        <v>36</v>
      </c>
      <c r="I83">
        <v>0</v>
      </c>
      <c r="J83">
        <v>20</v>
      </c>
      <c r="K83">
        <v>54</v>
      </c>
      <c r="L83">
        <v>0</v>
      </c>
      <c r="M83">
        <v>56</v>
      </c>
      <c r="N83">
        <v>139</v>
      </c>
      <c r="O83">
        <v>34</v>
      </c>
      <c r="P83">
        <f>+output[[#This Row],[OcupTotal]]/264</f>
        <v>0.52651515151515149</v>
      </c>
      <c r="Q83">
        <f>+output[[#This Row],[Ocupación Externo]]/100</f>
        <v>0.49</v>
      </c>
      <c r="R83">
        <f>+output[[#This Row],[Ocupación Central]]/73</f>
        <v>0.49315068493150682</v>
      </c>
      <c r="S83" s="5">
        <f>+output[[#This Row],[Ocupación Polideportivo]]/91</f>
        <v>0.59340659340659341</v>
      </c>
      <c r="T83" s="5">
        <f>+output[[#This Row],[Rechazados acumulados]]-O82</f>
        <v>0</v>
      </c>
    </row>
    <row r="84" spans="1:20" hidden="1" x14ac:dyDescent="0.25">
      <c r="A84" t="s">
        <v>29</v>
      </c>
      <c r="B84" t="s">
        <v>20</v>
      </c>
      <c r="C84">
        <v>0</v>
      </c>
      <c r="D84">
        <v>20</v>
      </c>
      <c r="E84">
        <v>29</v>
      </c>
      <c r="F84">
        <v>0</v>
      </c>
      <c r="G84">
        <v>8</v>
      </c>
      <c r="H84">
        <v>28</v>
      </c>
      <c r="I84">
        <v>0</v>
      </c>
      <c r="J84">
        <v>20</v>
      </c>
      <c r="K84">
        <v>34</v>
      </c>
      <c r="L84">
        <v>0</v>
      </c>
      <c r="M84">
        <v>48</v>
      </c>
      <c r="N84">
        <v>91</v>
      </c>
      <c r="O84">
        <v>34</v>
      </c>
      <c r="P84">
        <f>+output[[#This Row],[OcupTotal]]/264</f>
        <v>0.34469696969696972</v>
      </c>
      <c r="Q84">
        <f>+output[[#This Row],[Ocupación Externo]]/100</f>
        <v>0.28999999999999998</v>
      </c>
      <c r="R84">
        <f>+output[[#This Row],[Ocupación Central]]/73</f>
        <v>0.38356164383561642</v>
      </c>
      <c r="S84" s="5">
        <f>+output[[#This Row],[Ocupación Polideportivo]]/91</f>
        <v>0.37362637362637363</v>
      </c>
      <c r="T84" s="5">
        <f>+output[[#This Row],[Rechazados acumulados]]-O83</f>
        <v>0</v>
      </c>
    </row>
    <row r="85" spans="1:20" hidden="1" x14ac:dyDescent="0.25">
      <c r="A85" t="s">
        <v>30</v>
      </c>
      <c r="B85" t="s">
        <v>22</v>
      </c>
      <c r="C85">
        <v>0</v>
      </c>
      <c r="D85">
        <v>12</v>
      </c>
      <c r="E85">
        <v>16</v>
      </c>
      <c r="F85">
        <v>0</v>
      </c>
      <c r="G85">
        <v>13</v>
      </c>
      <c r="H85">
        <v>15</v>
      </c>
      <c r="I85">
        <v>0</v>
      </c>
      <c r="J85">
        <v>18</v>
      </c>
      <c r="K85">
        <v>17</v>
      </c>
      <c r="L85">
        <v>0</v>
      </c>
      <c r="M85">
        <v>43</v>
      </c>
      <c r="N85">
        <v>48</v>
      </c>
      <c r="O85">
        <v>34</v>
      </c>
      <c r="P85">
        <f>+output[[#This Row],[OcupTotal]]/264</f>
        <v>0.18181818181818182</v>
      </c>
      <c r="Q85">
        <f>+output[[#This Row],[Ocupación Externo]]/100</f>
        <v>0.16</v>
      </c>
      <c r="R85">
        <f>+output[[#This Row],[Ocupación Central]]/73</f>
        <v>0.20547945205479451</v>
      </c>
      <c r="S85" s="5">
        <f>+output[[#This Row],[Ocupación Polideportivo]]/91</f>
        <v>0.18681318681318682</v>
      </c>
      <c r="T85" s="5">
        <f>+output[[#This Row],[Rechazados acumulados]]-O84</f>
        <v>0</v>
      </c>
    </row>
    <row r="86" spans="1:20" hidden="1" x14ac:dyDescent="0.25">
      <c r="A86" t="s">
        <v>30</v>
      </c>
      <c r="B86" t="s">
        <v>23</v>
      </c>
      <c r="C86">
        <v>0</v>
      </c>
      <c r="D86">
        <v>8</v>
      </c>
      <c r="E86">
        <v>9</v>
      </c>
      <c r="F86">
        <v>0</v>
      </c>
      <c r="G86">
        <v>13</v>
      </c>
      <c r="H86">
        <v>2</v>
      </c>
      <c r="I86">
        <v>0</v>
      </c>
      <c r="J86">
        <v>7</v>
      </c>
      <c r="K86">
        <v>9</v>
      </c>
      <c r="L86">
        <v>0</v>
      </c>
      <c r="M86">
        <v>28</v>
      </c>
      <c r="N86">
        <v>20</v>
      </c>
      <c r="O86">
        <v>34</v>
      </c>
      <c r="P86">
        <f>+output[[#This Row],[OcupTotal]]/264</f>
        <v>7.575757575757576E-2</v>
      </c>
      <c r="Q86">
        <f>+output[[#This Row],[Ocupación Externo]]/100</f>
        <v>0.09</v>
      </c>
      <c r="R86">
        <f>+output[[#This Row],[Ocupación Central]]/73</f>
        <v>2.7397260273972601E-2</v>
      </c>
      <c r="S86" s="5">
        <f>+output[[#This Row],[Ocupación Polideportivo]]/91</f>
        <v>9.8901098901098897E-2</v>
      </c>
      <c r="T86" s="5">
        <f>+output[[#This Row],[Rechazados acumulados]]-O85</f>
        <v>0</v>
      </c>
    </row>
    <row r="87" spans="1:20" hidden="1" x14ac:dyDescent="0.25">
      <c r="A87" t="s">
        <v>30</v>
      </c>
      <c r="B87" t="s">
        <v>24</v>
      </c>
      <c r="C87">
        <v>0</v>
      </c>
      <c r="D87">
        <v>1</v>
      </c>
      <c r="E87">
        <v>7</v>
      </c>
      <c r="F87">
        <v>0</v>
      </c>
      <c r="G87">
        <v>1</v>
      </c>
      <c r="H87">
        <v>1</v>
      </c>
      <c r="I87">
        <v>0</v>
      </c>
      <c r="J87">
        <v>7</v>
      </c>
      <c r="K87">
        <v>3</v>
      </c>
      <c r="L87">
        <v>0</v>
      </c>
      <c r="M87">
        <v>9</v>
      </c>
      <c r="N87">
        <v>11</v>
      </c>
      <c r="O87">
        <v>34</v>
      </c>
      <c r="P87">
        <f>+output[[#This Row],[OcupTotal]]/264</f>
        <v>4.1666666666666664E-2</v>
      </c>
      <c r="Q87">
        <f>+output[[#This Row],[Ocupación Externo]]/100</f>
        <v>7.0000000000000007E-2</v>
      </c>
      <c r="R87">
        <f>+output[[#This Row],[Ocupación Central]]/73</f>
        <v>1.3698630136986301E-2</v>
      </c>
      <c r="S87" s="5">
        <f>+output[[#This Row],[Ocupación Polideportivo]]/91</f>
        <v>3.2967032967032968E-2</v>
      </c>
      <c r="T87" s="5">
        <f>+output[[#This Row],[Rechazados acumulados]]-O86</f>
        <v>0</v>
      </c>
    </row>
    <row r="88" spans="1:20" hidden="1" x14ac:dyDescent="0.25">
      <c r="A88" t="s">
        <v>30</v>
      </c>
      <c r="B88" t="s">
        <v>25</v>
      </c>
      <c r="C88">
        <v>0</v>
      </c>
      <c r="D88">
        <v>5</v>
      </c>
      <c r="E88">
        <v>3</v>
      </c>
      <c r="F88">
        <v>0</v>
      </c>
      <c r="G88">
        <v>1</v>
      </c>
      <c r="H88">
        <v>0</v>
      </c>
      <c r="I88">
        <v>0</v>
      </c>
      <c r="J88">
        <v>2</v>
      </c>
      <c r="K88">
        <v>0</v>
      </c>
      <c r="L88">
        <v>0</v>
      </c>
      <c r="M88">
        <v>8</v>
      </c>
      <c r="N88">
        <v>3</v>
      </c>
      <c r="O88">
        <v>34</v>
      </c>
      <c r="P88">
        <f>+output[[#This Row],[OcupTotal]]/264</f>
        <v>1.1363636363636364E-2</v>
      </c>
      <c r="Q88">
        <f>+output[[#This Row],[Ocupación Externo]]/100</f>
        <v>0.03</v>
      </c>
      <c r="R88">
        <f>+output[[#This Row],[Ocupación Central]]/73</f>
        <v>0</v>
      </c>
      <c r="S88" s="5">
        <f>+output[[#This Row],[Ocupación Polideportivo]]/91</f>
        <v>0</v>
      </c>
      <c r="T88" s="5">
        <f>+output[[#This Row],[Rechazados acumulados]]-O87</f>
        <v>0</v>
      </c>
    </row>
    <row r="89" spans="1:20" hidden="1" x14ac:dyDescent="0.25">
      <c r="A89" t="s">
        <v>30</v>
      </c>
      <c r="B89" t="s">
        <v>27</v>
      </c>
      <c r="C89">
        <v>0</v>
      </c>
      <c r="D89">
        <v>2</v>
      </c>
      <c r="E89">
        <v>1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2</v>
      </c>
      <c r="N89">
        <v>1</v>
      </c>
      <c r="O89">
        <v>34</v>
      </c>
      <c r="P89">
        <f>+output[[#This Row],[OcupTotal]]/264</f>
        <v>3.787878787878788E-3</v>
      </c>
      <c r="Q89">
        <f>+output[[#This Row],[Ocupación Externo]]/100</f>
        <v>0.01</v>
      </c>
      <c r="R89">
        <f>+output[[#This Row],[Ocupación Central]]/73</f>
        <v>0</v>
      </c>
      <c r="S89" s="5">
        <f>+output[[#This Row],[Ocupación Polideportivo]]/91</f>
        <v>0</v>
      </c>
      <c r="T89" s="5">
        <f>+output[[#This Row],[Rechazados acumulados]]-O88</f>
        <v>0</v>
      </c>
    </row>
    <row r="90" spans="1:20" x14ac:dyDescent="0.25">
      <c r="A90" t="s">
        <v>30</v>
      </c>
      <c r="B90" t="s">
        <v>4</v>
      </c>
      <c r="C90">
        <v>28</v>
      </c>
      <c r="D90">
        <v>0</v>
      </c>
      <c r="E90">
        <v>28</v>
      </c>
      <c r="F90">
        <v>22</v>
      </c>
      <c r="G90">
        <v>0</v>
      </c>
      <c r="H90">
        <v>22</v>
      </c>
      <c r="I90">
        <v>35</v>
      </c>
      <c r="J90">
        <v>0</v>
      </c>
      <c r="K90" s="2">
        <v>35</v>
      </c>
      <c r="L90">
        <v>85</v>
      </c>
      <c r="M90">
        <v>0</v>
      </c>
      <c r="N90">
        <v>85</v>
      </c>
      <c r="O90">
        <v>36</v>
      </c>
      <c r="P90" s="4">
        <f>+output[[#This Row],[OcupTotal]]/264</f>
        <v>0.32196969696969696</v>
      </c>
      <c r="Q90" s="3">
        <f>+output[[#This Row],[Ocupación Externo]]/100</f>
        <v>0.28000000000000003</v>
      </c>
      <c r="R90" s="3">
        <f>+output[[#This Row],[Ocupación Central]]/73</f>
        <v>0.30136986301369861</v>
      </c>
      <c r="S90" s="3">
        <f>+output[[#This Row],[Ocupación Polideportivo]]/91</f>
        <v>0.38461538461538464</v>
      </c>
      <c r="T90" s="5">
        <f>+output[[#This Row],[Rechazados acumulados]]-O89</f>
        <v>2</v>
      </c>
    </row>
    <row r="91" spans="1:20" x14ac:dyDescent="0.25">
      <c r="A91" t="s">
        <v>30</v>
      </c>
      <c r="B91" t="s">
        <v>5</v>
      </c>
      <c r="C91">
        <v>21</v>
      </c>
      <c r="D91">
        <v>0</v>
      </c>
      <c r="E91">
        <v>49</v>
      </c>
      <c r="F91">
        <v>12</v>
      </c>
      <c r="G91">
        <v>0</v>
      </c>
      <c r="H91">
        <v>34</v>
      </c>
      <c r="I91">
        <v>26</v>
      </c>
      <c r="J91">
        <v>0</v>
      </c>
      <c r="K91" s="2">
        <v>61</v>
      </c>
      <c r="L91">
        <v>59</v>
      </c>
      <c r="M91">
        <v>0</v>
      </c>
      <c r="N91">
        <v>144</v>
      </c>
      <c r="O91">
        <v>36</v>
      </c>
      <c r="P91" s="4">
        <f>+output[[#This Row],[OcupTotal]]/264</f>
        <v>0.54545454545454541</v>
      </c>
      <c r="Q91" s="3">
        <f>+output[[#This Row],[Ocupación Externo]]/100</f>
        <v>0.49</v>
      </c>
      <c r="R91" s="3">
        <f>+output[[#This Row],[Ocupación Central]]/73</f>
        <v>0.46575342465753422</v>
      </c>
      <c r="S91" s="3">
        <f>+output[[#This Row],[Ocupación Polideportivo]]/91</f>
        <v>0.67032967032967028</v>
      </c>
      <c r="T91" s="5">
        <f>+output[[#This Row],[Rechazados acumulados]]-O90</f>
        <v>0</v>
      </c>
    </row>
    <row r="92" spans="1:20" x14ac:dyDescent="0.25">
      <c r="A92" t="s">
        <v>30</v>
      </c>
      <c r="B92" t="s">
        <v>6</v>
      </c>
      <c r="C92">
        <v>11</v>
      </c>
      <c r="D92">
        <v>0</v>
      </c>
      <c r="E92">
        <v>60</v>
      </c>
      <c r="F92">
        <v>6</v>
      </c>
      <c r="G92">
        <v>0</v>
      </c>
      <c r="H92">
        <v>40</v>
      </c>
      <c r="I92">
        <v>11</v>
      </c>
      <c r="J92">
        <v>1</v>
      </c>
      <c r="K92" s="2">
        <v>71</v>
      </c>
      <c r="L92">
        <v>28</v>
      </c>
      <c r="M92">
        <v>1</v>
      </c>
      <c r="N92">
        <v>171</v>
      </c>
      <c r="O92">
        <v>36</v>
      </c>
      <c r="P92" s="4">
        <f>+output[[#This Row],[OcupTotal]]/264</f>
        <v>0.64772727272727271</v>
      </c>
      <c r="Q92" s="3">
        <f>+output[[#This Row],[Ocupación Externo]]/100</f>
        <v>0.6</v>
      </c>
      <c r="R92" s="3">
        <f>+output[[#This Row],[Ocupación Central]]/73</f>
        <v>0.54794520547945202</v>
      </c>
      <c r="S92" s="3">
        <f>+output[[#This Row],[Ocupación Polideportivo]]/91</f>
        <v>0.78021978021978022</v>
      </c>
      <c r="T92" s="5">
        <f>+output[[#This Row],[Rechazados acumulados]]-O91</f>
        <v>0</v>
      </c>
    </row>
    <row r="93" spans="1:20" x14ac:dyDescent="0.25">
      <c r="A93" t="s">
        <v>30</v>
      </c>
      <c r="B93" t="s">
        <v>7</v>
      </c>
      <c r="C93">
        <v>17</v>
      </c>
      <c r="D93">
        <v>7</v>
      </c>
      <c r="E93">
        <v>70</v>
      </c>
      <c r="F93">
        <v>14</v>
      </c>
      <c r="G93">
        <v>3</v>
      </c>
      <c r="H93">
        <v>52</v>
      </c>
      <c r="I93">
        <v>11</v>
      </c>
      <c r="J93">
        <v>1</v>
      </c>
      <c r="K93" s="2">
        <v>81</v>
      </c>
      <c r="L93">
        <v>42</v>
      </c>
      <c r="M93">
        <v>11</v>
      </c>
      <c r="N93">
        <v>203</v>
      </c>
      <c r="O93">
        <v>37</v>
      </c>
      <c r="P93" s="4">
        <f>+output[[#This Row],[OcupTotal]]/264</f>
        <v>0.76893939393939392</v>
      </c>
      <c r="Q93" s="3">
        <f>+output[[#This Row],[Ocupación Externo]]/100</f>
        <v>0.7</v>
      </c>
      <c r="R93" s="3">
        <f>+output[[#This Row],[Ocupación Central]]/73</f>
        <v>0.71232876712328763</v>
      </c>
      <c r="S93" s="3">
        <f>+output[[#This Row],[Ocupación Polideportivo]]/91</f>
        <v>0.89010989010989006</v>
      </c>
      <c r="T93" s="5">
        <f>+output[[#This Row],[Rechazados acumulados]]-O92</f>
        <v>1</v>
      </c>
    </row>
    <row r="94" spans="1:20" x14ac:dyDescent="0.25">
      <c r="A94" t="s">
        <v>30</v>
      </c>
      <c r="B94" t="s">
        <v>8</v>
      </c>
      <c r="C94">
        <v>10</v>
      </c>
      <c r="D94">
        <v>8</v>
      </c>
      <c r="E94">
        <v>72</v>
      </c>
      <c r="F94">
        <v>10</v>
      </c>
      <c r="G94">
        <v>8</v>
      </c>
      <c r="H94">
        <v>53</v>
      </c>
      <c r="I94">
        <v>13</v>
      </c>
      <c r="J94">
        <v>12</v>
      </c>
      <c r="K94" s="2">
        <v>82</v>
      </c>
      <c r="L94">
        <v>33</v>
      </c>
      <c r="M94">
        <v>28</v>
      </c>
      <c r="N94">
        <v>207</v>
      </c>
      <c r="O94">
        <v>37</v>
      </c>
      <c r="P94" s="4">
        <f>+output[[#This Row],[OcupTotal]]/264</f>
        <v>0.78409090909090906</v>
      </c>
      <c r="Q94" s="3">
        <f>+output[[#This Row],[Ocupación Externo]]/100</f>
        <v>0.72</v>
      </c>
      <c r="R94" s="3">
        <f>+output[[#This Row],[Ocupación Central]]/73</f>
        <v>0.72602739726027399</v>
      </c>
      <c r="S94" s="3">
        <f>+output[[#This Row],[Ocupación Polideportivo]]/91</f>
        <v>0.90109890109890112</v>
      </c>
      <c r="T94" s="5">
        <f>+output[[#This Row],[Rechazados acumulados]]-O93</f>
        <v>0</v>
      </c>
    </row>
    <row r="95" spans="1:20" x14ac:dyDescent="0.25">
      <c r="A95" t="s">
        <v>30</v>
      </c>
      <c r="B95" t="s">
        <v>9</v>
      </c>
      <c r="C95">
        <v>6</v>
      </c>
      <c r="D95">
        <v>22</v>
      </c>
      <c r="E95">
        <v>56</v>
      </c>
      <c r="F95">
        <v>6</v>
      </c>
      <c r="G95">
        <v>15</v>
      </c>
      <c r="H95">
        <v>44</v>
      </c>
      <c r="I95">
        <v>13</v>
      </c>
      <c r="J95">
        <v>20</v>
      </c>
      <c r="K95" s="2">
        <v>75</v>
      </c>
      <c r="L95">
        <v>25</v>
      </c>
      <c r="M95">
        <v>57</v>
      </c>
      <c r="N95">
        <v>175</v>
      </c>
      <c r="O95">
        <v>37</v>
      </c>
      <c r="P95" s="4">
        <f>+output[[#This Row],[OcupTotal]]/264</f>
        <v>0.66287878787878785</v>
      </c>
      <c r="Q95" s="3">
        <f>+output[[#This Row],[Ocupación Externo]]/100</f>
        <v>0.56000000000000005</v>
      </c>
      <c r="R95" s="3">
        <f>+output[[#This Row],[Ocupación Central]]/73</f>
        <v>0.60273972602739723</v>
      </c>
      <c r="S95" s="3">
        <f>+output[[#This Row],[Ocupación Polideportivo]]/91</f>
        <v>0.82417582417582413</v>
      </c>
      <c r="T95" s="5">
        <f>+output[[#This Row],[Rechazados acumulados]]-O94</f>
        <v>0</v>
      </c>
    </row>
    <row r="96" spans="1:20" x14ac:dyDescent="0.25">
      <c r="A96" t="s">
        <v>30</v>
      </c>
      <c r="B96" t="s">
        <v>10</v>
      </c>
      <c r="C96">
        <v>10</v>
      </c>
      <c r="D96">
        <v>18</v>
      </c>
      <c r="E96">
        <v>49</v>
      </c>
      <c r="F96">
        <v>3</v>
      </c>
      <c r="G96">
        <v>7</v>
      </c>
      <c r="H96">
        <v>40</v>
      </c>
      <c r="I96">
        <v>6</v>
      </c>
      <c r="J96">
        <v>19</v>
      </c>
      <c r="K96" s="2">
        <v>62</v>
      </c>
      <c r="L96">
        <v>19</v>
      </c>
      <c r="M96">
        <v>44</v>
      </c>
      <c r="N96">
        <v>151</v>
      </c>
      <c r="O96">
        <v>37</v>
      </c>
      <c r="P96" s="4">
        <f>+output[[#This Row],[OcupTotal]]/264</f>
        <v>0.57196969696969702</v>
      </c>
      <c r="Q96" s="3">
        <f>+output[[#This Row],[Ocupación Externo]]/100</f>
        <v>0.49</v>
      </c>
      <c r="R96" s="3">
        <f>+output[[#This Row],[Ocupación Central]]/73</f>
        <v>0.54794520547945202</v>
      </c>
      <c r="S96" s="3">
        <f>+output[[#This Row],[Ocupación Polideportivo]]/91</f>
        <v>0.68131868131868134</v>
      </c>
      <c r="T96" s="5">
        <f>+output[[#This Row],[Rechazados acumulados]]-O95</f>
        <v>0</v>
      </c>
    </row>
    <row r="97" spans="1:20" x14ac:dyDescent="0.25">
      <c r="A97" t="s">
        <v>30</v>
      </c>
      <c r="B97" t="s">
        <v>11</v>
      </c>
      <c r="C97">
        <v>7</v>
      </c>
      <c r="D97">
        <v>15</v>
      </c>
      <c r="E97">
        <v>41</v>
      </c>
      <c r="F97">
        <v>8</v>
      </c>
      <c r="G97">
        <v>11</v>
      </c>
      <c r="H97">
        <v>37</v>
      </c>
      <c r="I97">
        <v>19</v>
      </c>
      <c r="J97">
        <v>16</v>
      </c>
      <c r="K97" s="2">
        <v>65</v>
      </c>
      <c r="L97">
        <v>34</v>
      </c>
      <c r="M97">
        <v>42</v>
      </c>
      <c r="N97">
        <v>143</v>
      </c>
      <c r="O97">
        <v>37</v>
      </c>
      <c r="P97" s="4">
        <f>+output[[#This Row],[OcupTotal]]/264</f>
        <v>0.54166666666666663</v>
      </c>
      <c r="Q97" s="3">
        <f>+output[[#This Row],[Ocupación Externo]]/100</f>
        <v>0.41</v>
      </c>
      <c r="R97" s="3">
        <f>+output[[#This Row],[Ocupación Central]]/73</f>
        <v>0.50684931506849318</v>
      </c>
      <c r="S97" s="3">
        <f>+output[[#This Row],[Ocupación Polideportivo]]/91</f>
        <v>0.7142857142857143</v>
      </c>
      <c r="T97" s="5">
        <f>+output[[#This Row],[Rechazados acumulados]]-O96</f>
        <v>0</v>
      </c>
    </row>
    <row r="98" spans="1:20" x14ac:dyDescent="0.25">
      <c r="A98" t="s">
        <v>30</v>
      </c>
      <c r="B98" t="s">
        <v>12</v>
      </c>
      <c r="C98">
        <v>8</v>
      </c>
      <c r="D98">
        <v>12</v>
      </c>
      <c r="E98">
        <v>36</v>
      </c>
      <c r="F98">
        <v>6</v>
      </c>
      <c r="G98">
        <v>14</v>
      </c>
      <c r="H98">
        <v>29</v>
      </c>
      <c r="I98">
        <v>12</v>
      </c>
      <c r="J98">
        <v>13</v>
      </c>
      <c r="K98" s="2">
        <v>65</v>
      </c>
      <c r="L98">
        <v>26</v>
      </c>
      <c r="M98">
        <v>39</v>
      </c>
      <c r="N98">
        <v>130</v>
      </c>
      <c r="O98">
        <v>37</v>
      </c>
      <c r="P98" s="4">
        <f>+output[[#This Row],[OcupTotal]]/264</f>
        <v>0.49242424242424243</v>
      </c>
      <c r="Q98" s="3">
        <f>+output[[#This Row],[Ocupación Externo]]/100</f>
        <v>0.36</v>
      </c>
      <c r="R98" s="3">
        <f>+output[[#This Row],[Ocupación Central]]/73</f>
        <v>0.39726027397260272</v>
      </c>
      <c r="S98" s="3">
        <f>+output[[#This Row],[Ocupación Polideportivo]]/91</f>
        <v>0.7142857142857143</v>
      </c>
      <c r="T98" s="5">
        <f>+output[[#This Row],[Rechazados acumulados]]-O97</f>
        <v>0</v>
      </c>
    </row>
    <row r="99" spans="1:20" x14ac:dyDescent="0.25">
      <c r="A99" t="s">
        <v>30</v>
      </c>
      <c r="B99" t="s">
        <v>13</v>
      </c>
      <c r="C99">
        <v>11</v>
      </c>
      <c r="D99">
        <v>11</v>
      </c>
      <c r="E99">
        <v>37</v>
      </c>
      <c r="F99">
        <v>12</v>
      </c>
      <c r="G99">
        <v>8</v>
      </c>
      <c r="H99">
        <v>33</v>
      </c>
      <c r="I99">
        <v>22</v>
      </c>
      <c r="J99">
        <v>14</v>
      </c>
      <c r="K99" s="2">
        <v>72</v>
      </c>
      <c r="L99">
        <v>45</v>
      </c>
      <c r="M99">
        <v>33</v>
      </c>
      <c r="N99">
        <v>142</v>
      </c>
      <c r="O99">
        <v>37</v>
      </c>
      <c r="P99" s="4">
        <f>+output[[#This Row],[OcupTotal]]/264</f>
        <v>0.53787878787878785</v>
      </c>
      <c r="Q99" s="3">
        <f>+output[[#This Row],[Ocupación Externo]]/100</f>
        <v>0.37</v>
      </c>
      <c r="R99" s="3">
        <f>+output[[#This Row],[Ocupación Central]]/73</f>
        <v>0.45205479452054792</v>
      </c>
      <c r="S99" s="3">
        <f>+output[[#This Row],[Ocupación Polideportivo]]/91</f>
        <v>0.79120879120879117</v>
      </c>
      <c r="T99" s="5">
        <f>+output[[#This Row],[Rechazados acumulados]]-O98</f>
        <v>0</v>
      </c>
    </row>
    <row r="100" spans="1:20" x14ac:dyDescent="0.25">
      <c r="A100" t="s">
        <v>30</v>
      </c>
      <c r="B100" t="s">
        <v>14</v>
      </c>
      <c r="C100">
        <v>35</v>
      </c>
      <c r="D100">
        <v>5</v>
      </c>
      <c r="E100">
        <v>66</v>
      </c>
      <c r="F100">
        <v>24</v>
      </c>
      <c r="G100">
        <v>6</v>
      </c>
      <c r="H100">
        <v>51</v>
      </c>
      <c r="I100">
        <v>31</v>
      </c>
      <c r="J100">
        <v>17</v>
      </c>
      <c r="K100" s="2">
        <v>86</v>
      </c>
      <c r="L100">
        <v>90</v>
      </c>
      <c r="M100">
        <v>28</v>
      </c>
      <c r="N100">
        <v>203</v>
      </c>
      <c r="O100">
        <v>44</v>
      </c>
      <c r="P100" s="4">
        <f>+output[[#This Row],[OcupTotal]]/264</f>
        <v>0.76893939393939392</v>
      </c>
      <c r="Q100" s="3">
        <f>+output[[#This Row],[Ocupación Externo]]/100</f>
        <v>0.66</v>
      </c>
      <c r="R100" s="3">
        <f>+output[[#This Row],[Ocupación Central]]/73</f>
        <v>0.69863013698630139</v>
      </c>
      <c r="S100" s="3">
        <f>+output[[#This Row],[Ocupación Polideportivo]]/91</f>
        <v>0.94505494505494503</v>
      </c>
      <c r="T100" s="5">
        <f>+output[[#This Row],[Rechazados acumulados]]-O99</f>
        <v>7</v>
      </c>
    </row>
    <row r="101" spans="1:20" x14ac:dyDescent="0.25">
      <c r="A101" t="s">
        <v>30</v>
      </c>
      <c r="B101" t="s">
        <v>15</v>
      </c>
      <c r="C101">
        <v>30</v>
      </c>
      <c r="D101">
        <v>7</v>
      </c>
      <c r="E101">
        <v>89</v>
      </c>
      <c r="F101">
        <v>16</v>
      </c>
      <c r="G101">
        <v>6</v>
      </c>
      <c r="H101">
        <v>61</v>
      </c>
      <c r="I101">
        <v>17</v>
      </c>
      <c r="J101">
        <v>12</v>
      </c>
      <c r="K101" s="2">
        <v>91</v>
      </c>
      <c r="L101">
        <v>63</v>
      </c>
      <c r="M101">
        <v>25</v>
      </c>
      <c r="N101">
        <v>241</v>
      </c>
      <c r="O101">
        <v>47</v>
      </c>
      <c r="P101" s="4">
        <f>+output[[#This Row],[OcupTotal]]/264</f>
        <v>0.91287878787878785</v>
      </c>
      <c r="Q101" s="3">
        <f>+output[[#This Row],[Ocupación Externo]]/100</f>
        <v>0.89</v>
      </c>
      <c r="R101" s="3">
        <f>+output[[#This Row],[Ocupación Central]]/73</f>
        <v>0.83561643835616439</v>
      </c>
      <c r="S101" s="3">
        <f>+output[[#This Row],[Ocupación Polideportivo]]/91</f>
        <v>1</v>
      </c>
      <c r="T101" s="5">
        <f>+output[[#This Row],[Rechazados acumulados]]-O100</f>
        <v>3</v>
      </c>
    </row>
    <row r="102" spans="1:20" x14ac:dyDescent="0.25">
      <c r="A102" t="s">
        <v>30</v>
      </c>
      <c r="B102" t="s">
        <v>16</v>
      </c>
      <c r="C102">
        <v>9</v>
      </c>
      <c r="D102">
        <v>5</v>
      </c>
      <c r="E102">
        <v>93</v>
      </c>
      <c r="F102">
        <v>7</v>
      </c>
      <c r="G102">
        <v>6</v>
      </c>
      <c r="H102">
        <v>62</v>
      </c>
      <c r="I102">
        <v>17</v>
      </c>
      <c r="J102">
        <v>17</v>
      </c>
      <c r="K102" s="2">
        <v>91</v>
      </c>
      <c r="L102">
        <v>33</v>
      </c>
      <c r="M102">
        <v>28</v>
      </c>
      <c r="N102">
        <v>246</v>
      </c>
      <c r="O102">
        <v>47</v>
      </c>
      <c r="P102" s="4">
        <f>+output[[#This Row],[OcupTotal]]/264</f>
        <v>0.93181818181818177</v>
      </c>
      <c r="Q102" s="3">
        <f>+output[[#This Row],[Ocupación Externo]]/100</f>
        <v>0.93</v>
      </c>
      <c r="R102" s="3">
        <f>+output[[#This Row],[Ocupación Central]]/73</f>
        <v>0.84931506849315064</v>
      </c>
      <c r="S102" s="3">
        <f>+output[[#This Row],[Ocupación Polideportivo]]/91</f>
        <v>1</v>
      </c>
      <c r="T102" s="5">
        <f>+output[[#This Row],[Rechazados acumulados]]-O101</f>
        <v>0</v>
      </c>
    </row>
    <row r="103" spans="1:20" x14ac:dyDescent="0.25">
      <c r="A103" t="s">
        <v>30</v>
      </c>
      <c r="B103" t="s">
        <v>17</v>
      </c>
      <c r="C103">
        <v>14</v>
      </c>
      <c r="D103">
        <v>12</v>
      </c>
      <c r="E103">
        <v>96</v>
      </c>
      <c r="F103">
        <v>9</v>
      </c>
      <c r="G103">
        <v>11</v>
      </c>
      <c r="H103">
        <v>60</v>
      </c>
      <c r="I103">
        <v>12</v>
      </c>
      <c r="J103">
        <v>12</v>
      </c>
      <c r="K103" s="2">
        <v>91</v>
      </c>
      <c r="L103">
        <v>35</v>
      </c>
      <c r="M103">
        <v>35</v>
      </c>
      <c r="N103">
        <v>247</v>
      </c>
      <c r="O103">
        <v>47</v>
      </c>
      <c r="P103" s="4">
        <f>+output[[#This Row],[OcupTotal]]/264</f>
        <v>0.93560606060606055</v>
      </c>
      <c r="Q103" s="3">
        <f>+output[[#This Row],[Ocupación Externo]]/100</f>
        <v>0.96</v>
      </c>
      <c r="R103" s="3">
        <f>+output[[#This Row],[Ocupación Central]]/73</f>
        <v>0.82191780821917804</v>
      </c>
      <c r="S103" s="3">
        <f>+output[[#This Row],[Ocupación Polideportivo]]/91</f>
        <v>1</v>
      </c>
      <c r="T103" s="5">
        <f>+output[[#This Row],[Rechazados acumulados]]-O102</f>
        <v>0</v>
      </c>
    </row>
    <row r="104" spans="1:20" x14ac:dyDescent="0.25">
      <c r="A104" t="s">
        <v>30</v>
      </c>
      <c r="B104" t="s">
        <v>18</v>
      </c>
      <c r="C104">
        <v>5</v>
      </c>
      <c r="D104">
        <v>11</v>
      </c>
      <c r="E104">
        <v>90</v>
      </c>
      <c r="F104">
        <v>4</v>
      </c>
      <c r="G104">
        <v>6</v>
      </c>
      <c r="H104">
        <v>58</v>
      </c>
      <c r="I104">
        <v>7</v>
      </c>
      <c r="J104">
        <v>7</v>
      </c>
      <c r="K104" s="2">
        <v>91</v>
      </c>
      <c r="L104">
        <v>16</v>
      </c>
      <c r="M104">
        <v>24</v>
      </c>
      <c r="N104">
        <v>239</v>
      </c>
      <c r="O104">
        <v>47</v>
      </c>
      <c r="P104" s="4">
        <f>+output[[#This Row],[OcupTotal]]/264</f>
        <v>0.90530303030303028</v>
      </c>
      <c r="Q104" s="3">
        <f>+output[[#This Row],[Ocupación Externo]]/100</f>
        <v>0.9</v>
      </c>
      <c r="R104" s="3">
        <f>+output[[#This Row],[Ocupación Central]]/73</f>
        <v>0.79452054794520544</v>
      </c>
      <c r="S104" s="3">
        <f>+output[[#This Row],[Ocupación Polideportivo]]/91</f>
        <v>1</v>
      </c>
      <c r="T104" s="5">
        <f>+output[[#This Row],[Rechazados acumulados]]-O103</f>
        <v>0</v>
      </c>
    </row>
  </sheetData>
  <conditionalFormatting sqref="N2:N104">
    <cfRule type="cellIs" dxfId="26" priority="14" operator="equal">
      <formula>264</formula>
    </cfRule>
  </conditionalFormatting>
  <conditionalFormatting sqref="E1:E1048576">
    <cfRule type="cellIs" dxfId="25" priority="13" operator="equal">
      <formula>100</formula>
    </cfRule>
  </conditionalFormatting>
  <conditionalFormatting sqref="H1:H1048576">
    <cfRule type="cellIs" dxfId="24" priority="12" operator="equal">
      <formula>73</formula>
    </cfRule>
  </conditionalFormatting>
  <conditionalFormatting sqref="K1:K1048576">
    <cfRule type="cellIs" dxfId="23" priority="11" operator="equal">
      <formula>91</formula>
    </cfRule>
  </conditionalFormatting>
  <conditionalFormatting sqref="P1:P1048576">
    <cfRule type="cellIs" dxfId="22" priority="10" operator="between">
      <formula>0.5</formula>
      <formula>0.75</formula>
    </cfRule>
  </conditionalFormatting>
  <conditionalFormatting sqref="P2:P1048576">
    <cfRule type="cellIs" dxfId="21" priority="9" operator="greaterThan">
      <formula>0.75</formula>
    </cfRule>
  </conditionalFormatting>
  <conditionalFormatting sqref="Q1:Q1048576">
    <cfRule type="cellIs" dxfId="20" priority="8" operator="between">
      <formula>0.5</formula>
      <formula>0.75</formula>
    </cfRule>
  </conditionalFormatting>
  <conditionalFormatting sqref="Q2:Q1048576">
    <cfRule type="cellIs" dxfId="19" priority="7" operator="greaterThan">
      <formula>0.75</formula>
    </cfRule>
  </conditionalFormatting>
  <conditionalFormatting sqref="R2:R1048576">
    <cfRule type="cellIs" dxfId="18" priority="6" operator="between">
      <formula>0.5</formula>
      <formula>0.75</formula>
    </cfRule>
    <cfRule type="cellIs" dxfId="17" priority="5" operator="greaterThan">
      <formula>0.75</formula>
    </cfRule>
  </conditionalFormatting>
  <conditionalFormatting sqref="S2:S1048576">
    <cfRule type="cellIs" dxfId="16" priority="4" operator="between">
      <formula>0.5</formula>
      <formula>0.75</formula>
    </cfRule>
  </conditionalFormatting>
  <conditionalFormatting sqref="S2:S104">
    <cfRule type="cellIs" dxfId="15" priority="3" operator="between">
      <formula>0.5</formula>
      <formula>75</formula>
    </cfRule>
  </conditionalFormatting>
  <conditionalFormatting sqref="S2:S104">
    <cfRule type="cellIs" dxfId="14" priority="2" operator="greaterThan">
      <formula>0.75</formula>
    </cfRule>
  </conditionalFormatting>
  <conditionalFormatting sqref="T2:T104">
    <cfRule type="cellIs" dxfId="0" priority="1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4FED2E7-23C3-4F2D-8FDF-5D99772387E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Tabla_Resultado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Natusch</dc:creator>
  <cp:lastModifiedBy>Antonio Natusch</cp:lastModifiedBy>
  <dcterms:created xsi:type="dcterms:W3CDTF">2026-06-16T19:09:40Z</dcterms:created>
  <dcterms:modified xsi:type="dcterms:W3CDTF">2026-06-16T19:35:02Z</dcterms:modified>
</cp:coreProperties>
</file>